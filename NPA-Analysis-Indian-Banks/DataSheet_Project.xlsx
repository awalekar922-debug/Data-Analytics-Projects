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rva\Desktop\Class Material Tri-6\RA\24A2HP401_Assignment\"/>
    </mc:Choice>
  </mc:AlternateContent>
  <xr:revisionPtr revIDLastSave="0" documentId="13_ncr:1_{256F1667-D56A-4795-A217-5CC71327B994}" xr6:coauthVersionLast="47" xr6:coauthVersionMax="47" xr10:uidLastSave="{00000000-0000-0000-0000-000000000000}"/>
  <bookViews>
    <workbookView xWindow="-108" yWindow="-108" windowWidth="23256" windowHeight="12456" xr2:uid="{3CB5985D-CEBE-49F1-8977-23766C3878A6}"/>
  </bookViews>
  <sheets>
    <sheet name="Genereal Info" sheetId="1" r:id="rId1"/>
    <sheet name="Data" sheetId="2" r:id="rId2"/>
    <sheet name="Calculations" sheetId="3" r:id="rId3"/>
    <sheet name="GDP &amp; Infl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4" l="1"/>
  <c r="B6" i="4" l="1"/>
  <c r="B7" i="4"/>
  <c r="B8" i="4" s="1"/>
  <c r="B9" i="4" s="1"/>
  <c r="B10" i="4" s="1"/>
  <c r="B11" i="4" s="1"/>
  <c r="B12" i="4" s="1"/>
  <c r="B13" i="4" s="1"/>
  <c r="B5" i="4"/>
  <c r="H16" i="3"/>
  <c r="H17" i="3"/>
  <c r="H18" i="3"/>
  <c r="H19" i="3"/>
  <c r="H20" i="3"/>
  <c r="H21" i="3"/>
  <c r="H22" i="3"/>
  <c r="H23" i="3"/>
  <c r="H26" i="3"/>
  <c r="H27" i="3"/>
  <c r="H28" i="3"/>
  <c r="H29" i="3"/>
  <c r="H30" i="3"/>
  <c r="H31" i="3"/>
  <c r="H32" i="3"/>
  <c r="H33" i="3"/>
  <c r="H34" i="3"/>
  <c r="H37" i="3"/>
  <c r="H38" i="3"/>
  <c r="H39" i="3"/>
  <c r="H40" i="3"/>
  <c r="H41" i="3"/>
  <c r="H42" i="3"/>
  <c r="H43" i="3"/>
  <c r="H44" i="3"/>
  <c r="H45" i="3"/>
  <c r="H48" i="3"/>
  <c r="H49" i="3"/>
  <c r="H50" i="3"/>
  <c r="H51" i="3"/>
  <c r="H52" i="3"/>
  <c r="H53" i="3"/>
  <c r="H54" i="3"/>
  <c r="H55" i="3"/>
  <c r="H56" i="3"/>
  <c r="H59" i="3"/>
  <c r="H60" i="3"/>
  <c r="H61" i="3"/>
  <c r="H62" i="3"/>
  <c r="H63" i="3"/>
  <c r="H64" i="3"/>
  <c r="H65" i="3"/>
  <c r="H66" i="3"/>
  <c r="H67" i="3"/>
  <c r="H15" i="3"/>
  <c r="H5" i="3"/>
  <c r="H6" i="3"/>
  <c r="H7" i="3"/>
  <c r="H8" i="3"/>
  <c r="H9" i="3"/>
  <c r="H10" i="3"/>
  <c r="H11" i="3"/>
  <c r="H12" i="3"/>
  <c r="H4" i="3"/>
  <c r="XFB15" i="2"/>
  <c r="E25" i="3"/>
  <c r="E26" i="3"/>
  <c r="E27" i="3"/>
  <c r="E28" i="3"/>
  <c r="E29" i="3"/>
  <c r="E30" i="3"/>
  <c r="E31" i="3"/>
  <c r="E32" i="3"/>
  <c r="E33" i="3"/>
  <c r="E34" i="3"/>
  <c r="E36" i="3"/>
  <c r="E37" i="3"/>
  <c r="E38" i="3"/>
  <c r="E39" i="3"/>
  <c r="E40" i="3"/>
  <c r="E41" i="3"/>
  <c r="E42" i="3"/>
  <c r="E43" i="3"/>
  <c r="E44" i="3"/>
  <c r="E45" i="3"/>
  <c r="E47" i="3"/>
  <c r="E48" i="3"/>
  <c r="E49" i="3"/>
  <c r="E50" i="3"/>
  <c r="E51" i="3"/>
  <c r="E52" i="3"/>
  <c r="E53" i="3"/>
  <c r="E54" i="3"/>
  <c r="E55" i="3"/>
  <c r="E56" i="3"/>
  <c r="E58" i="3"/>
  <c r="E59" i="3"/>
  <c r="E60" i="3"/>
  <c r="E61" i="3"/>
  <c r="E62" i="3"/>
  <c r="E63" i="3"/>
  <c r="E64" i="3"/>
  <c r="E65" i="3"/>
  <c r="E66" i="3"/>
  <c r="E67" i="3"/>
  <c r="E15" i="3"/>
  <c r="E16" i="3"/>
  <c r="E17" i="3"/>
  <c r="E18" i="3"/>
  <c r="E19" i="3"/>
  <c r="E20" i="3"/>
  <c r="E21" i="3"/>
  <c r="E22" i="3"/>
  <c r="E23" i="3"/>
  <c r="E14" i="3"/>
  <c r="E4" i="3"/>
  <c r="E5" i="3"/>
  <c r="E6" i="3"/>
  <c r="E7" i="3"/>
  <c r="E8" i="3"/>
  <c r="E9" i="3"/>
  <c r="E10" i="3"/>
  <c r="E11" i="3"/>
  <c r="E12" i="3"/>
  <c r="E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tc={463F8E93-4BD4-4799-AA23-2D2C93F40D37}</author>
  </authors>
  <commentList>
    <comment ref="D3" authorId="0" shapeId="0" xr:uid="{463F8E93-4BD4-4799-AA23-2D2C93F40D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From the annual report
Gross NPAs to gross advances(%)
</t>
      </text>
    </comment>
  </commentList>
</comments>
</file>

<file path=xl/sharedStrings.xml><?xml version="1.0" encoding="utf-8"?>
<sst xmlns="http://schemas.openxmlformats.org/spreadsheetml/2006/main" count="176" uniqueCount="37">
  <si>
    <t>Banks Finalised</t>
  </si>
  <si>
    <t>SBI</t>
  </si>
  <si>
    <t>PNB</t>
  </si>
  <si>
    <t>BOB</t>
  </si>
  <si>
    <t xml:space="preserve">HDFC </t>
  </si>
  <si>
    <t>ICICI</t>
  </si>
  <si>
    <t>Axis</t>
  </si>
  <si>
    <t>Public</t>
  </si>
  <si>
    <t>Pvt</t>
  </si>
  <si>
    <t>Years Considered</t>
  </si>
  <si>
    <t>2014-2023</t>
  </si>
  <si>
    <t xml:space="preserve">Bank </t>
  </si>
  <si>
    <t>Year</t>
  </si>
  <si>
    <t>ROA</t>
  </si>
  <si>
    <t>Bank Size</t>
  </si>
  <si>
    <t xml:space="preserve">Dependent </t>
  </si>
  <si>
    <t>Credit Growth</t>
  </si>
  <si>
    <t>Independent Variables</t>
  </si>
  <si>
    <t>HDFC</t>
  </si>
  <si>
    <t xml:space="preserve">AXIS </t>
  </si>
  <si>
    <t xml:space="preserve"> </t>
  </si>
  <si>
    <t>Gross NPA</t>
  </si>
  <si>
    <t>Total Assets</t>
  </si>
  <si>
    <t>Bank Size(log Returns)</t>
  </si>
  <si>
    <t>Advances</t>
  </si>
  <si>
    <t>-</t>
  </si>
  <si>
    <t>In Billion rupees</t>
  </si>
  <si>
    <t xml:space="preserve">  </t>
  </si>
  <si>
    <t>CAR(CApital Adequecy Ratio Basel 3)</t>
  </si>
  <si>
    <t>GDP Growth</t>
  </si>
  <si>
    <t>Inflation</t>
  </si>
  <si>
    <t>Macroeconomic indicator</t>
  </si>
  <si>
    <t>Dependent V</t>
  </si>
  <si>
    <t>Independent V</t>
  </si>
  <si>
    <t>Macroeconomic Indicator</t>
  </si>
  <si>
    <t>Hard coated</t>
  </si>
  <si>
    <t xml:space="preserve">Calculated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</si>
</sst>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8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2"/>
    </font>
    <font>
      <sz val="11"/>
      <color rgb="FF22222F"/>
      <name val="Arial"/>
      <family val="2"/>
    </font>
    <font>
      <u/>
      <sz val="11"/>
      <color theme="10"/>
      <name val="Times New Roman"/>
      <family val="2"/>
    </font>
    <font>
      <sz val="11"/>
      <color rgb="FF0000FF"/>
      <name val="Times New Roman"/>
      <family val="2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right" vertical="center" wrapText="1"/>
    </xf>
    <xf numFmtId="0" fontId="4" fillId="2" borderId="0" xfId="2" applyFill="1" applyAlignment="1">
      <alignment horizontal="right" vertical="center" wrapText="1"/>
    </xf>
    <xf numFmtId="0" fontId="0" fillId="0" borderId="1" xfId="0" applyBorder="1"/>
    <xf numFmtId="10" fontId="0" fillId="0" borderId="1" xfId="1" applyNumberFormat="1" applyFont="1" applyBorder="1"/>
    <xf numFmtId="0" fontId="1" fillId="0" borderId="1" xfId="0" applyFont="1" applyBorder="1"/>
    <xf numFmtId="0" fontId="0" fillId="3" borderId="1" xfId="0" applyFill="1" applyBorder="1" applyAlignment="1">
      <alignment horizontal="left"/>
    </xf>
    <xf numFmtId="0" fontId="1" fillId="4" borderId="1" xfId="0" applyFont="1" applyFill="1" applyBorder="1"/>
    <xf numFmtId="0" fontId="0" fillId="0" borderId="1" xfId="0" applyBorder="1" applyAlignment="1">
      <alignment horizontal="center"/>
    </xf>
    <xf numFmtId="164" fontId="5" fillId="0" borderId="1" xfId="0" applyNumberFormat="1" applyFont="1" applyBorder="1"/>
    <xf numFmtId="164" fontId="0" fillId="0" borderId="1" xfId="0" applyNumberFormat="1" applyBorder="1"/>
    <xf numFmtId="10" fontId="0" fillId="0" borderId="1" xfId="1" applyNumberFormat="1" applyFont="1" applyBorder="1" applyAlignment="1">
      <alignment horizontal="right"/>
    </xf>
    <xf numFmtId="10" fontId="5" fillId="0" borderId="1" xfId="1" applyNumberFormat="1" applyFont="1" applyBorder="1"/>
    <xf numFmtId="0" fontId="5" fillId="0" borderId="1" xfId="0" applyFont="1" applyBorder="1"/>
    <xf numFmtId="2" fontId="5" fillId="0" borderId="1" xfId="0" applyNumberFormat="1" applyFont="1" applyBorder="1"/>
    <xf numFmtId="2" fontId="0" fillId="0" borderId="1" xfId="0" applyNumberFormat="1" applyBorder="1" applyAlignment="1">
      <alignment horizontal="center"/>
    </xf>
    <xf numFmtId="4" fontId="5" fillId="0" borderId="1" xfId="0" applyNumberFormat="1" applyFont="1" applyBorder="1"/>
    <xf numFmtId="2" fontId="5" fillId="0" borderId="1" xfId="0" applyNumberFormat="1" applyFont="1" applyBorder="1" applyAlignment="1">
      <alignment horizontal="right"/>
    </xf>
    <xf numFmtId="3" fontId="5" fillId="0" borderId="1" xfId="0" applyNumberFormat="1" applyFont="1" applyBorder="1"/>
    <xf numFmtId="0" fontId="0" fillId="5" borderId="1" xfId="0" applyFill="1" applyBorder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0" fillId="6" borderId="0" xfId="0" applyFill="1"/>
    <xf numFmtId="0" fontId="0" fillId="7" borderId="0" xfId="0" applyFill="1"/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center" vertical="center"/>
    </xf>
    <xf numFmtId="0" fontId="7" fillId="0" borderId="0" xfId="0" applyFont="1"/>
    <xf numFmtId="0" fontId="6" fillId="8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4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CCFF"/>
      <color rgb="FF66CCFF"/>
      <color rgb="FFCCFFFF"/>
      <color rgb="FF33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tharva Walekar" id="{6F5BF935-3489-41D6-8DD8-C66CC4B41E30}" userId="cf60ed4fef92556e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6-03-05T15:56:59.26" personId="{6F5BF935-3489-41D6-8DD8-C66CC4B41E30}" id="{463F8E93-4BD4-4799-AA23-2D2C93F40D37}">
    <text xml:space="preserve">From the annual report
Gross NPAs to gross advances(%)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F8A0-D89A-4312-B84D-EF955FD423D7}">
  <dimension ref="C2:H8"/>
  <sheetViews>
    <sheetView showGridLines="0" tabSelected="1" workbookViewId="0">
      <selection activeCell="C16" sqref="C16"/>
    </sheetView>
  </sheetViews>
  <sheetFormatPr defaultRowHeight="13.8" x14ac:dyDescent="0.25"/>
  <cols>
    <col min="3" max="3" width="14.6640625" bestFit="1" customWidth="1"/>
    <col min="7" max="7" width="23.77734375" bestFit="1" customWidth="1"/>
  </cols>
  <sheetData>
    <row r="2" spans="3:8" x14ac:dyDescent="0.25">
      <c r="C2" s="1" t="s">
        <v>0</v>
      </c>
      <c r="G2" s="1" t="s">
        <v>9</v>
      </c>
    </row>
    <row r="3" spans="3:8" x14ac:dyDescent="0.25">
      <c r="C3" s="4" t="s">
        <v>1</v>
      </c>
      <c r="D3" s="4" t="s">
        <v>7</v>
      </c>
      <c r="G3" t="s">
        <v>10</v>
      </c>
    </row>
    <row r="4" spans="3:8" x14ac:dyDescent="0.25">
      <c r="C4" s="4" t="s">
        <v>2</v>
      </c>
      <c r="D4" s="4" t="s">
        <v>7</v>
      </c>
    </row>
    <row r="5" spans="3:8" x14ac:dyDescent="0.25">
      <c r="C5" s="4" t="s">
        <v>3</v>
      </c>
      <c r="D5" s="4" t="s">
        <v>7</v>
      </c>
      <c r="G5" s="6" t="s">
        <v>32</v>
      </c>
      <c r="H5" s="4">
        <v>1</v>
      </c>
    </row>
    <row r="6" spans="3:8" x14ac:dyDescent="0.25">
      <c r="C6" s="4" t="s">
        <v>4</v>
      </c>
      <c r="D6" s="4" t="s">
        <v>8</v>
      </c>
      <c r="G6" s="6" t="s">
        <v>33</v>
      </c>
      <c r="H6" s="4">
        <v>4</v>
      </c>
    </row>
    <row r="7" spans="3:8" x14ac:dyDescent="0.25">
      <c r="C7" s="4" t="s">
        <v>5</v>
      </c>
      <c r="D7" s="4" t="s">
        <v>8</v>
      </c>
      <c r="G7" s="6" t="s">
        <v>34</v>
      </c>
      <c r="H7" s="4">
        <v>2</v>
      </c>
    </row>
    <row r="8" spans="3:8" x14ac:dyDescent="0.25">
      <c r="C8" s="4" t="s">
        <v>6</v>
      </c>
      <c r="D8" s="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E52F2-338E-4631-A17E-9AAEFF051C27}">
  <sheetPr>
    <tabColor rgb="FF92D050"/>
  </sheetPr>
  <dimension ref="A2:XFB68"/>
  <sheetViews>
    <sheetView showGridLines="0" workbookViewId="0">
      <selection activeCell="M17" sqref="M17"/>
    </sheetView>
  </sheetViews>
  <sheetFormatPr defaultRowHeight="13.8" x14ac:dyDescent="0.25"/>
  <cols>
    <col min="4" max="4" width="11.6640625" bestFit="1" customWidth="1"/>
    <col min="5" max="5" width="13.21875" customWidth="1"/>
    <col min="7" max="7" width="11.6640625" bestFit="1" customWidth="1"/>
    <col min="8" max="8" width="13.6640625" bestFit="1" customWidth="1"/>
    <col min="9" max="9" width="12.33203125" bestFit="1" customWidth="1"/>
    <col min="10" max="10" width="14.88671875" customWidth="1"/>
  </cols>
  <sheetData>
    <row r="2" spans="2:21 16382:16382" ht="18" customHeight="1" x14ac:dyDescent="0.25">
      <c r="D2" s="28" t="s">
        <v>15</v>
      </c>
      <c r="E2" s="30" t="s">
        <v>17</v>
      </c>
      <c r="F2" s="30"/>
      <c r="G2" s="30"/>
      <c r="H2" s="30"/>
      <c r="I2" s="30" t="s">
        <v>31</v>
      </c>
      <c r="J2" s="30"/>
    </row>
    <row r="3" spans="2:21 16382:16382" ht="41.4" x14ac:dyDescent="0.25">
      <c r="B3" s="25" t="s">
        <v>11</v>
      </c>
      <c r="C3" s="25" t="s">
        <v>12</v>
      </c>
      <c r="D3" s="25" t="s">
        <v>21</v>
      </c>
      <c r="E3" s="26" t="s">
        <v>28</v>
      </c>
      <c r="F3" s="25" t="s">
        <v>14</v>
      </c>
      <c r="G3" s="25" t="s">
        <v>13</v>
      </c>
      <c r="H3" s="25" t="s">
        <v>16</v>
      </c>
      <c r="I3" s="25" t="s">
        <v>29</v>
      </c>
      <c r="J3" s="25" t="s">
        <v>30</v>
      </c>
    </row>
    <row r="4" spans="2:21 16382:16382" x14ac:dyDescent="0.25">
      <c r="B4" s="27" t="s">
        <v>1</v>
      </c>
      <c r="C4" s="9">
        <v>2014</v>
      </c>
      <c r="D4" s="10">
        <v>4.95</v>
      </c>
      <c r="E4" s="10">
        <v>12.44</v>
      </c>
      <c r="F4" s="11">
        <v>12.496836638980868</v>
      </c>
      <c r="G4" s="10">
        <v>0.65</v>
      </c>
      <c r="H4" s="12" t="s">
        <v>25</v>
      </c>
      <c r="I4" s="13">
        <v>7.3999999999999996E-2</v>
      </c>
      <c r="J4" s="13">
        <v>6.7000000000000004E-2</v>
      </c>
    </row>
    <row r="5" spans="2:21 16382:16382" x14ac:dyDescent="0.25">
      <c r="B5" s="27" t="s">
        <v>1</v>
      </c>
      <c r="C5" s="9">
        <v>2015</v>
      </c>
      <c r="D5" s="10">
        <v>4.25</v>
      </c>
      <c r="E5" s="10">
        <v>12</v>
      </c>
      <c r="F5" s="11">
        <v>12.614095280376938</v>
      </c>
      <c r="G5" s="10">
        <v>0.68</v>
      </c>
      <c r="H5" s="12">
        <v>-9.280972001555389E-2</v>
      </c>
      <c r="I5" s="13">
        <v>0.08</v>
      </c>
      <c r="J5" s="13">
        <v>4.9000000000000002E-2</v>
      </c>
    </row>
    <row r="6" spans="2:21 16382:16382" x14ac:dyDescent="0.25">
      <c r="B6" s="27" t="s">
        <v>1</v>
      </c>
      <c r="C6" s="9">
        <v>2016</v>
      </c>
      <c r="D6" s="10">
        <v>6.5</v>
      </c>
      <c r="E6" s="10">
        <v>13.12</v>
      </c>
      <c r="F6" s="11">
        <v>12.701601650279072</v>
      </c>
      <c r="G6" s="10">
        <v>0.46</v>
      </c>
      <c r="H6" s="12">
        <v>6.0204523485524235E-2</v>
      </c>
      <c r="I6" s="13">
        <v>8.3000000000000004E-2</v>
      </c>
      <c r="J6" s="13">
        <v>4.9000000000000002E-2</v>
      </c>
      <c r="L6" s="2"/>
      <c r="M6" s="3"/>
      <c r="N6" s="3"/>
      <c r="O6" s="3"/>
      <c r="P6" s="3"/>
      <c r="Q6" s="3"/>
      <c r="R6" s="3"/>
      <c r="S6" s="3"/>
      <c r="T6" s="3"/>
      <c r="U6" s="2"/>
    </row>
    <row r="7" spans="2:21 16382:16382" x14ac:dyDescent="0.25">
      <c r="B7" s="27" t="s">
        <v>1</v>
      </c>
      <c r="C7" s="9">
        <v>2017</v>
      </c>
      <c r="D7" s="10">
        <v>9.11</v>
      </c>
      <c r="E7" s="10">
        <v>13.11</v>
      </c>
      <c r="F7" s="11">
        <v>12.795057120549021</v>
      </c>
      <c r="G7" s="10">
        <v>0.41</v>
      </c>
      <c r="H7" s="12">
        <v>7.8024335239735218E-2</v>
      </c>
      <c r="I7" s="13">
        <v>6.8000000000000005E-2</v>
      </c>
      <c r="J7" s="13">
        <v>3.3000000000000002E-2</v>
      </c>
    </row>
    <row r="8" spans="2:21 16382:16382" x14ac:dyDescent="0.25">
      <c r="B8" s="27" t="s">
        <v>1</v>
      </c>
      <c r="C8" s="9">
        <v>2018</v>
      </c>
      <c r="D8" s="10">
        <v>10.85</v>
      </c>
      <c r="E8" s="10">
        <v>12.6</v>
      </c>
      <c r="F8" s="11">
        <v>12.860974690905861</v>
      </c>
      <c r="G8" s="10">
        <v>-0.19</v>
      </c>
      <c r="H8" s="12">
        <v>0.25878176872028846</v>
      </c>
      <c r="I8" s="13">
        <v>6.5000000000000002E-2</v>
      </c>
      <c r="J8" s="13">
        <v>3.9E-2</v>
      </c>
    </row>
    <row r="9" spans="2:21 16382:16382" x14ac:dyDescent="0.25">
      <c r="B9" s="27" t="s">
        <v>1</v>
      </c>
      <c r="C9" s="9">
        <v>2019</v>
      </c>
      <c r="D9" s="10">
        <v>7.53</v>
      </c>
      <c r="E9" s="10">
        <v>12.72</v>
      </c>
      <c r="F9" s="11">
        <v>12.886953020529939</v>
      </c>
      <c r="G9" s="10">
        <v>0.02</v>
      </c>
      <c r="H9" s="12">
        <v>0.11963890813031308</v>
      </c>
      <c r="I9" s="13">
        <v>3.9E-2</v>
      </c>
      <c r="J9" s="13">
        <v>3.6999999999999998E-2</v>
      </c>
    </row>
    <row r="10" spans="2:21 16382:16382" x14ac:dyDescent="0.25">
      <c r="B10" s="27" t="s">
        <v>1</v>
      </c>
      <c r="C10" s="9">
        <v>2020</v>
      </c>
      <c r="D10" s="10">
        <v>6.07</v>
      </c>
      <c r="E10" s="10">
        <v>13.06</v>
      </c>
      <c r="F10" s="11">
        <v>12.9945392331246</v>
      </c>
      <c r="G10" s="10">
        <v>0.38</v>
      </c>
      <c r="H10" s="12">
        <v>5.6417370145603739E-2</v>
      </c>
      <c r="I10" s="13">
        <v>-5.8000000000000003E-2</v>
      </c>
      <c r="J10" s="13">
        <v>6.6000000000000003E-2</v>
      </c>
    </row>
    <row r="11" spans="2:21 16382:16382" x14ac:dyDescent="0.25">
      <c r="B11" s="27" t="s">
        <v>1</v>
      </c>
      <c r="C11" s="9">
        <v>2021</v>
      </c>
      <c r="D11" s="10">
        <v>4.9800000000000004</v>
      </c>
      <c r="E11" s="10">
        <v>13.74</v>
      </c>
      <c r="F11" s="11">
        <v>13.076482650714039</v>
      </c>
      <c r="G11" s="10">
        <v>0.48</v>
      </c>
      <c r="H11" s="12">
        <v>4.8103989757461843E-2</v>
      </c>
      <c r="I11" s="13">
        <v>9.7000000000000003E-2</v>
      </c>
      <c r="J11" s="13">
        <v>5.0999999999999997E-2</v>
      </c>
    </row>
    <row r="12" spans="2:21 16382:16382" x14ac:dyDescent="0.25">
      <c r="B12" s="27" t="s">
        <v>1</v>
      </c>
      <c r="C12" s="9">
        <v>2022</v>
      </c>
      <c r="D12" s="10">
        <v>3.97</v>
      </c>
      <c r="E12" s="10">
        <v>13.83</v>
      </c>
      <c r="F12" s="11">
        <v>13.182998257991672</v>
      </c>
      <c r="G12" s="10">
        <v>0.67</v>
      </c>
      <c r="H12" s="12">
        <v>0.10997809724840302</v>
      </c>
      <c r="I12" s="13">
        <v>7.5999999999999998E-2</v>
      </c>
      <c r="J12" s="13">
        <v>6.7000000000000004E-2</v>
      </c>
    </row>
    <row r="13" spans="2:21 16382:16382" x14ac:dyDescent="0.25">
      <c r="B13" s="27" t="s">
        <v>1</v>
      </c>
      <c r="C13" s="9">
        <v>2023</v>
      </c>
      <c r="D13" s="10">
        <v>2.75</v>
      </c>
      <c r="E13" s="10">
        <v>14.68</v>
      </c>
      <c r="F13" s="11">
        <v>13.31713668833742</v>
      </c>
      <c r="G13" s="10">
        <v>0.96</v>
      </c>
      <c r="H13" s="12">
        <v>0.15985225462166489</v>
      </c>
      <c r="I13" s="13">
        <v>9.1999999999999998E-2</v>
      </c>
      <c r="J13" s="13">
        <v>5.6000000000000001E-2</v>
      </c>
    </row>
    <row r="14" spans="2:21 16382:16382" x14ac:dyDescent="0.25">
      <c r="B14" s="31"/>
      <c r="C14" s="32"/>
      <c r="D14" s="32"/>
      <c r="E14" s="32"/>
      <c r="F14" s="32"/>
      <c r="G14" s="32"/>
      <c r="H14" s="32"/>
      <c r="I14" s="32"/>
      <c r="J14" s="33"/>
    </row>
    <row r="15" spans="2:21 16382:16382" x14ac:dyDescent="0.25">
      <c r="B15" s="27" t="s">
        <v>2</v>
      </c>
      <c r="C15" s="9">
        <v>2014</v>
      </c>
      <c r="D15" s="10">
        <v>5.25</v>
      </c>
      <c r="E15" s="10">
        <v>11.52</v>
      </c>
      <c r="F15" s="11">
        <v>11.074026316575557</v>
      </c>
      <c r="G15" s="10">
        <v>0.64</v>
      </c>
      <c r="H15" s="12" t="s">
        <v>25</v>
      </c>
      <c r="I15" s="13">
        <v>7.3999999999999996E-2</v>
      </c>
      <c r="J15" s="13">
        <v>6.7000000000000004E-2</v>
      </c>
      <c r="XFB15">
        <f>SUM(A15:XFA15)</f>
        <v>2042.6250263165757</v>
      </c>
    </row>
    <row r="16" spans="2:21 16382:16382" x14ac:dyDescent="0.25">
      <c r="B16" s="27" t="s">
        <v>2</v>
      </c>
      <c r="C16" s="9">
        <v>2015</v>
      </c>
      <c r="D16" s="10">
        <v>6.55</v>
      </c>
      <c r="E16" s="10">
        <v>12.21</v>
      </c>
      <c r="F16" s="11">
        <v>11.288356022556311</v>
      </c>
      <c r="G16" s="10">
        <v>0.53</v>
      </c>
      <c r="H16" s="12">
        <v>9.1135144140993371E-2</v>
      </c>
      <c r="I16" s="13">
        <v>0.08</v>
      </c>
      <c r="J16" s="13">
        <v>4.9000000000000002E-2</v>
      </c>
    </row>
    <row r="17" spans="2:10" x14ac:dyDescent="0.25">
      <c r="B17" s="27" t="s">
        <v>2</v>
      </c>
      <c r="C17" s="9">
        <v>2016</v>
      </c>
      <c r="D17" s="10">
        <v>12.9</v>
      </c>
      <c r="E17" s="10">
        <v>11.28</v>
      </c>
      <c r="F17" s="11">
        <v>11.462282906176759</v>
      </c>
      <c r="G17" s="10">
        <v>-0.61</v>
      </c>
      <c r="H17" s="12">
        <v>0.1028303065971173</v>
      </c>
      <c r="I17" s="13">
        <v>8.3000000000000004E-2</v>
      </c>
      <c r="J17" s="13">
        <v>4.9000000000000002E-2</v>
      </c>
    </row>
    <row r="18" spans="2:10" x14ac:dyDescent="0.25">
      <c r="B18" s="27" t="s">
        <v>2</v>
      </c>
      <c r="C18" s="9">
        <v>2017</v>
      </c>
      <c r="D18" s="10">
        <v>12.53</v>
      </c>
      <c r="E18" s="10">
        <v>11.66</v>
      </c>
      <c r="F18" s="11">
        <v>11.353847666806415</v>
      </c>
      <c r="G18" s="10">
        <v>0.19</v>
      </c>
      <c r="H18" s="12">
        <v>2.074130707722887E-2</v>
      </c>
      <c r="I18" s="13">
        <v>6.8000000000000005E-2</v>
      </c>
      <c r="J18" s="13">
        <v>3.3000000000000002E-2</v>
      </c>
    </row>
    <row r="19" spans="2:10" x14ac:dyDescent="0.25">
      <c r="B19" s="27" t="s">
        <v>2</v>
      </c>
      <c r="C19" s="9">
        <v>2018</v>
      </c>
      <c r="D19" s="10">
        <v>18.38</v>
      </c>
      <c r="E19" s="10">
        <v>9.1999999999999993</v>
      </c>
      <c r="F19" s="11">
        <v>11.269451774750051</v>
      </c>
      <c r="G19" s="10">
        <v>-1.6</v>
      </c>
      <c r="H19" s="12">
        <v>6.6882057816415083E-2</v>
      </c>
      <c r="I19" s="13">
        <v>6.5000000000000002E-2</v>
      </c>
      <c r="J19" s="13">
        <v>3.9E-2</v>
      </c>
    </row>
    <row r="20" spans="2:10" x14ac:dyDescent="0.25">
      <c r="B20" s="27" t="s">
        <v>2</v>
      </c>
      <c r="C20" s="9">
        <v>2019</v>
      </c>
      <c r="D20" s="10">
        <v>15.5</v>
      </c>
      <c r="E20" s="10">
        <v>9.73</v>
      </c>
      <c r="F20" s="11">
        <v>10.646502887453815</v>
      </c>
      <c r="G20" s="10">
        <v>-1.25</v>
      </c>
      <c r="H20" s="12">
        <v>7.4046152677528357E-2</v>
      </c>
      <c r="I20" s="13">
        <v>3.9E-2</v>
      </c>
      <c r="J20" s="13">
        <v>3.6999999999999998E-2</v>
      </c>
    </row>
    <row r="21" spans="2:10" x14ac:dyDescent="0.25">
      <c r="B21" s="27" t="s">
        <v>2</v>
      </c>
      <c r="C21" s="9">
        <v>2020</v>
      </c>
      <c r="D21" s="10">
        <v>14.21</v>
      </c>
      <c r="E21" s="10">
        <v>14.14</v>
      </c>
      <c r="F21" s="11">
        <v>10.528641718728213</v>
      </c>
      <c r="G21" s="10">
        <v>0.04</v>
      </c>
      <c r="H21" s="12">
        <v>2.1205276313858119E-2</v>
      </c>
      <c r="I21" s="13">
        <v>-5.8000000000000003E-2</v>
      </c>
      <c r="J21" s="13">
        <v>6.6000000000000003E-2</v>
      </c>
    </row>
    <row r="22" spans="2:10" x14ac:dyDescent="0.25">
      <c r="B22" s="27" t="s">
        <v>2</v>
      </c>
      <c r="C22" s="9">
        <v>2021</v>
      </c>
      <c r="D22" s="10">
        <v>14.12</v>
      </c>
      <c r="E22" s="10">
        <v>14.32</v>
      </c>
      <c r="F22" s="11">
        <v>10.732100721932005</v>
      </c>
      <c r="G22" s="10">
        <v>0.15</v>
      </c>
      <c r="H22" s="12">
        <v>0.43038683373277958</v>
      </c>
      <c r="I22" s="13">
        <v>9.7000000000000003E-2</v>
      </c>
      <c r="J22" s="13">
        <v>5.0999999999999997E-2</v>
      </c>
    </row>
    <row r="23" spans="2:10" x14ac:dyDescent="0.25">
      <c r="B23" s="27" t="s">
        <v>2</v>
      </c>
      <c r="C23" s="9">
        <v>2022</v>
      </c>
      <c r="D23" s="10">
        <v>11.78</v>
      </c>
      <c r="E23" s="10">
        <v>14.5</v>
      </c>
      <c r="F23" s="11">
        <v>10.681922584000887</v>
      </c>
      <c r="G23" s="10">
        <v>0.26</v>
      </c>
      <c r="H23" s="12">
        <v>6.1802111750514949E-2</v>
      </c>
      <c r="I23" s="13">
        <v>7.5999999999999998E-2</v>
      </c>
      <c r="J23" s="13">
        <v>6.7000000000000004E-2</v>
      </c>
    </row>
    <row r="24" spans="2:10" x14ac:dyDescent="0.25">
      <c r="B24" s="27" t="s">
        <v>2</v>
      </c>
      <c r="C24" s="9">
        <v>2023</v>
      </c>
      <c r="D24" s="10">
        <v>8.74</v>
      </c>
      <c r="E24" s="10">
        <v>15.5</v>
      </c>
      <c r="F24" s="11">
        <v>11.022082190911469</v>
      </c>
      <c r="G24" s="10">
        <v>0.18</v>
      </c>
      <c r="H24" s="12">
        <v>0.12683196664453622</v>
      </c>
      <c r="I24" s="13">
        <v>9.1999999999999998E-2</v>
      </c>
      <c r="J24" s="13">
        <v>5.6000000000000001E-2</v>
      </c>
    </row>
    <row r="25" spans="2:10" x14ac:dyDescent="0.25">
      <c r="B25" s="31"/>
      <c r="C25" s="32"/>
      <c r="D25" s="32"/>
      <c r="E25" s="32"/>
      <c r="F25" s="32"/>
      <c r="G25" s="32"/>
      <c r="H25" s="32"/>
      <c r="I25" s="32"/>
      <c r="J25" s="33"/>
    </row>
    <row r="26" spans="2:10" x14ac:dyDescent="0.25">
      <c r="B26" s="27" t="s">
        <v>3</v>
      </c>
      <c r="C26" s="9">
        <v>2014</v>
      </c>
      <c r="D26" s="10">
        <v>2.94</v>
      </c>
      <c r="E26" s="10">
        <v>12.28</v>
      </c>
      <c r="F26" s="11">
        <v>12.352559403820104</v>
      </c>
      <c r="G26" s="10">
        <v>0.75</v>
      </c>
      <c r="H26" s="12" t="s">
        <v>25</v>
      </c>
      <c r="I26" s="13">
        <v>7.3999999999999996E-2</v>
      </c>
      <c r="J26" s="13">
        <v>6.7000000000000004E-2</v>
      </c>
    </row>
    <row r="27" spans="2:10" x14ac:dyDescent="0.25">
      <c r="B27" s="27" t="s">
        <v>3</v>
      </c>
      <c r="C27" s="9">
        <v>2015</v>
      </c>
      <c r="D27" s="10">
        <v>3.71</v>
      </c>
      <c r="E27" s="10">
        <v>12.6</v>
      </c>
      <c r="F27" s="11">
        <v>12.429684727066954</v>
      </c>
      <c r="G27" s="10">
        <v>0.49</v>
      </c>
      <c r="H27" s="12">
        <v>7.9002088429822509E-2</v>
      </c>
      <c r="I27" s="13">
        <v>0.08</v>
      </c>
      <c r="J27" s="13">
        <v>4.9000000000000002E-2</v>
      </c>
    </row>
    <row r="28" spans="2:10" x14ac:dyDescent="0.25">
      <c r="B28" s="27" t="s">
        <v>3</v>
      </c>
      <c r="C28" s="9">
        <v>2016</v>
      </c>
      <c r="D28" s="10">
        <v>4.6399999999999997</v>
      </c>
      <c r="E28" s="10">
        <v>13.17</v>
      </c>
      <c r="F28" s="11">
        <v>12.334885121560752</v>
      </c>
      <c r="G28" s="10">
        <v>-0.78</v>
      </c>
      <c r="H28" s="12">
        <v>-6.3008491697525162E-2</v>
      </c>
      <c r="I28" s="13">
        <v>8.3000000000000004E-2</v>
      </c>
      <c r="J28" s="13">
        <v>4.9000000000000002E-2</v>
      </c>
    </row>
    <row r="29" spans="2:10" x14ac:dyDescent="0.25">
      <c r="B29" s="27" t="s">
        <v>3</v>
      </c>
      <c r="C29" s="9">
        <v>2017</v>
      </c>
      <c r="D29" s="10">
        <v>11.73</v>
      </c>
      <c r="E29" s="10">
        <v>12.24</v>
      </c>
      <c r="F29" s="11">
        <v>12.218370663951571</v>
      </c>
      <c r="G29" s="10">
        <v>0.2</v>
      </c>
      <c r="H29" s="12">
        <v>0.45421325496954668</v>
      </c>
      <c r="I29" s="13">
        <v>6.8000000000000005E-2</v>
      </c>
      <c r="J29" s="13">
        <v>3.3000000000000002E-2</v>
      </c>
    </row>
    <row r="30" spans="2:10" x14ac:dyDescent="0.25">
      <c r="B30" s="27" t="s">
        <v>3</v>
      </c>
      <c r="C30" s="9">
        <v>2018</v>
      </c>
      <c r="D30" s="10">
        <v>13.72</v>
      </c>
      <c r="E30" s="10">
        <v>12.13</v>
      </c>
      <c r="F30" s="11">
        <v>12.024026710748982</v>
      </c>
      <c r="G30" s="10">
        <v>-0.34</v>
      </c>
      <c r="H30" s="12">
        <v>0.12786191803892674</v>
      </c>
      <c r="I30" s="13">
        <v>6.5000000000000002E-2</v>
      </c>
      <c r="J30" s="13">
        <v>3.9E-2</v>
      </c>
    </row>
    <row r="31" spans="2:10" x14ac:dyDescent="0.25">
      <c r="B31" s="27" t="s">
        <v>3</v>
      </c>
      <c r="C31" s="9">
        <v>2019</v>
      </c>
      <c r="D31" s="10">
        <v>9.61</v>
      </c>
      <c r="E31" s="10">
        <v>13.42</v>
      </c>
      <c r="F31" s="11">
        <v>12.048798701721127</v>
      </c>
      <c r="G31" s="10">
        <v>0.06</v>
      </c>
      <c r="H31" s="12">
        <v>8.8904033476290528E-2</v>
      </c>
      <c r="I31" s="13">
        <v>3.9E-2</v>
      </c>
      <c r="J31" s="13">
        <v>3.6999999999999998E-2</v>
      </c>
    </row>
    <row r="32" spans="2:10" x14ac:dyDescent="0.25">
      <c r="B32" s="27" t="s">
        <v>3</v>
      </c>
      <c r="C32" s="9">
        <v>2020</v>
      </c>
      <c r="D32" s="10">
        <v>9.4</v>
      </c>
      <c r="E32" s="10">
        <v>13.3</v>
      </c>
      <c r="F32" s="11">
        <v>12.2053035498519</v>
      </c>
      <c r="G32" s="10">
        <v>0.06</v>
      </c>
      <c r="H32" s="12">
        <v>0.47117235990799394</v>
      </c>
      <c r="I32" s="13">
        <v>-5.8000000000000003E-2</v>
      </c>
      <c r="J32" s="13">
        <v>6.6000000000000003E-2</v>
      </c>
    </row>
    <row r="33" spans="1:10" x14ac:dyDescent="0.25">
      <c r="B33" s="27" t="s">
        <v>3</v>
      </c>
      <c r="C33" s="9">
        <v>2021</v>
      </c>
      <c r="D33" s="10">
        <v>8.8699999999999992</v>
      </c>
      <c r="E33" s="10">
        <v>14.99</v>
      </c>
      <c r="F33" s="11">
        <v>12.128044507248349</v>
      </c>
      <c r="G33" s="10">
        <v>7.0000000000000007E-2</v>
      </c>
      <c r="H33" s="12">
        <v>1.8282174676464851E-2</v>
      </c>
      <c r="I33" s="13">
        <v>9.7000000000000003E-2</v>
      </c>
      <c r="J33" s="13">
        <v>5.0999999999999997E-2</v>
      </c>
    </row>
    <row r="34" spans="1:10" x14ac:dyDescent="0.25">
      <c r="B34" s="27" t="s">
        <v>3</v>
      </c>
      <c r="C34" s="9">
        <v>2022</v>
      </c>
      <c r="D34" s="10">
        <v>6.61</v>
      </c>
      <c r="E34" s="10">
        <v>15.68</v>
      </c>
      <c r="F34" s="11">
        <v>12.139527312091126</v>
      </c>
      <c r="G34" s="10">
        <v>0.6</v>
      </c>
      <c r="H34" s="12">
        <v>8.8519006373155573E-2</v>
      </c>
      <c r="I34" s="13">
        <v>7.5999999999999998E-2</v>
      </c>
      <c r="J34" s="13">
        <v>6.7000000000000004E-2</v>
      </c>
    </row>
    <row r="35" spans="1:10" x14ac:dyDescent="0.25">
      <c r="B35" s="27" t="s">
        <v>3</v>
      </c>
      <c r="C35" s="9">
        <v>2023</v>
      </c>
      <c r="D35" s="10">
        <v>3.79</v>
      </c>
      <c r="E35" s="10">
        <v>16.239999999999998</v>
      </c>
      <c r="F35" s="11">
        <v>12.257042099987233</v>
      </c>
      <c r="G35" s="10">
        <v>1.03</v>
      </c>
      <c r="H35" s="12">
        <v>0.18509265144477582</v>
      </c>
      <c r="I35" s="13">
        <v>9.1999999999999998E-2</v>
      </c>
      <c r="J35" s="13">
        <v>5.6000000000000001E-2</v>
      </c>
    </row>
    <row r="36" spans="1:10" x14ac:dyDescent="0.25">
      <c r="B36" s="31"/>
      <c r="C36" s="32"/>
      <c r="D36" s="32"/>
      <c r="E36" s="32"/>
      <c r="F36" s="32"/>
      <c r="G36" s="32"/>
      <c r="H36" s="32"/>
      <c r="I36" s="32"/>
      <c r="J36" s="33"/>
    </row>
    <row r="37" spans="1:10" x14ac:dyDescent="0.25">
      <c r="B37" s="27" t="s">
        <v>18</v>
      </c>
      <c r="C37" s="9">
        <v>2014</v>
      </c>
      <c r="D37" s="10">
        <v>0.98</v>
      </c>
      <c r="E37" s="10">
        <v>16.07</v>
      </c>
      <c r="F37" s="11">
        <v>10.301939794547341</v>
      </c>
      <c r="G37" s="10">
        <v>2</v>
      </c>
      <c r="H37" s="12" t="s">
        <v>25</v>
      </c>
      <c r="I37" s="13">
        <v>7.3999999999999996E-2</v>
      </c>
      <c r="J37" s="13">
        <v>6.7000000000000004E-2</v>
      </c>
    </row>
    <row r="38" spans="1:10" x14ac:dyDescent="0.25">
      <c r="B38" s="27" t="s">
        <v>18</v>
      </c>
      <c r="C38" s="9">
        <v>2015</v>
      </c>
      <c r="D38" s="10">
        <v>0.93</v>
      </c>
      <c r="E38" s="10">
        <v>16.79</v>
      </c>
      <c r="F38" s="11">
        <v>10.365649579122747</v>
      </c>
      <c r="G38" s="10">
        <v>2.02</v>
      </c>
      <c r="H38" s="12">
        <v>0.20633515104985942</v>
      </c>
      <c r="I38" s="13">
        <v>0.08</v>
      </c>
      <c r="J38" s="13">
        <v>4.9000000000000002E-2</v>
      </c>
    </row>
    <row r="39" spans="1:10" x14ac:dyDescent="0.25">
      <c r="B39" s="27" t="s">
        <v>18</v>
      </c>
      <c r="C39" s="9">
        <v>2016</v>
      </c>
      <c r="D39" s="10">
        <v>0.94</v>
      </c>
      <c r="E39" s="10">
        <v>15.5</v>
      </c>
      <c r="F39" s="11">
        <v>10.490075721751346</v>
      </c>
      <c r="G39" s="10">
        <v>1.89</v>
      </c>
      <c r="H39" s="12">
        <v>0.27098351497565121</v>
      </c>
      <c r="I39" s="13">
        <v>8.3000000000000004E-2</v>
      </c>
      <c r="J39" s="13">
        <v>4.9000000000000002E-2</v>
      </c>
    </row>
    <row r="40" spans="1:10" x14ac:dyDescent="0.25">
      <c r="B40" s="27" t="s">
        <v>18</v>
      </c>
      <c r="C40" s="9">
        <v>2017</v>
      </c>
      <c r="D40" s="10">
        <v>1.05</v>
      </c>
      <c r="E40" s="10">
        <v>14.6</v>
      </c>
      <c r="F40" s="11">
        <v>10.082113957323838</v>
      </c>
      <c r="G40" s="10">
        <v>1.88</v>
      </c>
      <c r="H40" s="12">
        <v>0.19459211396362261</v>
      </c>
      <c r="I40" s="13">
        <v>6.8000000000000005E-2</v>
      </c>
      <c r="J40" s="13">
        <v>3.3000000000000002E-2</v>
      </c>
    </row>
    <row r="41" spans="1:10" x14ac:dyDescent="0.25">
      <c r="B41" s="27" t="s">
        <v>18</v>
      </c>
      <c r="C41" s="9">
        <v>2018</v>
      </c>
      <c r="D41" s="10">
        <v>1.3</v>
      </c>
      <c r="E41" s="10">
        <v>14.8</v>
      </c>
      <c r="F41" s="11">
        <v>10.201609811089925</v>
      </c>
      <c r="G41" s="10">
        <v>1.93</v>
      </c>
      <c r="H41" s="12">
        <v>0.18921233820909883</v>
      </c>
      <c r="I41" s="13">
        <v>6.5000000000000002E-2</v>
      </c>
      <c r="J41" s="13">
        <v>3.9E-2</v>
      </c>
    </row>
    <row r="42" spans="1:10" x14ac:dyDescent="0.25">
      <c r="B42" s="27" t="s">
        <v>18</v>
      </c>
      <c r="C42" s="9">
        <v>2019</v>
      </c>
      <c r="D42" s="10">
        <v>1.36</v>
      </c>
      <c r="E42" s="10">
        <v>17.100000000000001</v>
      </c>
      <c r="F42" s="11">
        <v>10.425674689187201</v>
      </c>
      <c r="G42" s="10">
        <v>1.9</v>
      </c>
      <c r="H42" s="12">
        <v>0.24550924273976152</v>
      </c>
      <c r="I42" s="13">
        <v>3.9E-2</v>
      </c>
      <c r="J42" s="13">
        <v>3.6999999999999998E-2</v>
      </c>
    </row>
    <row r="43" spans="1:10" x14ac:dyDescent="0.25">
      <c r="B43" s="27" t="s">
        <v>18</v>
      </c>
      <c r="C43" s="9">
        <v>2020</v>
      </c>
      <c r="D43" s="10">
        <v>1.26</v>
      </c>
      <c r="E43" s="10">
        <v>18.5</v>
      </c>
      <c r="F43" s="11">
        <v>10.674914348974756</v>
      </c>
      <c r="G43" s="10">
        <v>2.0099999999999998</v>
      </c>
      <c r="H43" s="12">
        <v>0.21199622518048675</v>
      </c>
      <c r="I43" s="13">
        <v>-5.8000000000000003E-2</v>
      </c>
      <c r="J43" s="13">
        <v>6.6000000000000003E-2</v>
      </c>
    </row>
    <row r="44" spans="1:10" x14ac:dyDescent="0.25">
      <c r="B44" s="27" t="s">
        <v>18</v>
      </c>
      <c r="C44" s="9">
        <v>2021</v>
      </c>
      <c r="D44" s="10">
        <v>1.32</v>
      </c>
      <c r="E44" s="10">
        <v>18.8</v>
      </c>
      <c r="F44" s="11">
        <v>10.682511696048008</v>
      </c>
      <c r="G44" s="10">
        <v>1.97</v>
      </c>
      <c r="H44" s="12">
        <v>0.14019955385654384</v>
      </c>
      <c r="I44" s="13">
        <v>9.7000000000000003E-2</v>
      </c>
      <c r="J44" s="13">
        <v>5.0999999999999997E-2</v>
      </c>
    </row>
    <row r="45" spans="1:10" x14ac:dyDescent="0.25">
      <c r="B45" s="27" t="s">
        <v>18</v>
      </c>
      <c r="C45" s="9">
        <v>2022</v>
      </c>
      <c r="D45" s="10">
        <v>1.17</v>
      </c>
      <c r="E45" s="10">
        <v>18.899999999999999</v>
      </c>
      <c r="F45" s="11">
        <v>10.968793457208717</v>
      </c>
      <c r="G45" s="10">
        <v>2.0299999999999998</v>
      </c>
      <c r="H45" s="12">
        <v>0.20747290768770102</v>
      </c>
      <c r="I45" s="13">
        <v>7.5999999999999998E-2</v>
      </c>
      <c r="J45" s="13">
        <v>6.7000000000000004E-2</v>
      </c>
    </row>
    <row r="46" spans="1:10" x14ac:dyDescent="0.25">
      <c r="B46" s="27" t="s">
        <v>18</v>
      </c>
      <c r="C46" s="9">
        <v>2023</v>
      </c>
      <c r="D46" s="10">
        <v>1.1200000000000001</v>
      </c>
      <c r="E46" s="10">
        <v>19.3</v>
      </c>
      <c r="F46" s="11">
        <v>11.053059238187586</v>
      </c>
      <c r="G46" s="10">
        <v>2.0699999999999998</v>
      </c>
      <c r="H46" s="12">
        <v>0.16929589468480818</v>
      </c>
      <c r="I46" s="13">
        <v>9.1999999999999998E-2</v>
      </c>
      <c r="J46" s="13">
        <v>5.6000000000000001E-2</v>
      </c>
    </row>
    <row r="47" spans="1:10" x14ac:dyDescent="0.25">
      <c r="A47" t="s">
        <v>20</v>
      </c>
      <c r="B47" s="31"/>
      <c r="C47" s="32"/>
      <c r="D47" s="32"/>
      <c r="E47" s="32"/>
      <c r="F47" s="32"/>
      <c r="G47" s="32"/>
      <c r="H47" s="32"/>
      <c r="I47" s="32"/>
      <c r="J47" s="33"/>
    </row>
    <row r="48" spans="1:10" x14ac:dyDescent="0.25">
      <c r="B48" s="27" t="s">
        <v>5</v>
      </c>
      <c r="C48" s="9">
        <v>2014</v>
      </c>
      <c r="D48" s="10">
        <v>3.03</v>
      </c>
      <c r="E48" s="10">
        <v>17.7</v>
      </c>
      <c r="F48" s="11">
        <v>13.860887283928893</v>
      </c>
      <c r="G48" s="10">
        <v>1.78</v>
      </c>
      <c r="H48" s="12" t="s">
        <v>25</v>
      </c>
      <c r="I48" s="13">
        <v>7.3999999999999996E-2</v>
      </c>
      <c r="J48" s="13">
        <v>6.7000000000000004E-2</v>
      </c>
    </row>
    <row r="49" spans="2:10" x14ac:dyDescent="0.25">
      <c r="B49" s="27" t="s">
        <v>5</v>
      </c>
      <c r="C49" s="9">
        <v>2015</v>
      </c>
      <c r="D49" s="10">
        <v>3.78</v>
      </c>
      <c r="E49" s="10">
        <v>17.02</v>
      </c>
      <c r="F49" s="11">
        <v>14.001005989352036</v>
      </c>
      <c r="G49" s="10">
        <v>1.86</v>
      </c>
      <c r="H49" s="12">
        <v>0.13204956800882739</v>
      </c>
      <c r="I49" s="13">
        <v>0.08</v>
      </c>
      <c r="J49" s="13">
        <v>4.9000000000000002E-2</v>
      </c>
    </row>
    <row r="50" spans="2:10" x14ac:dyDescent="0.25">
      <c r="B50" s="27" t="s">
        <v>5</v>
      </c>
      <c r="C50" s="9">
        <v>2016</v>
      </c>
      <c r="D50" s="10">
        <v>5.82</v>
      </c>
      <c r="E50" s="10">
        <v>16.64</v>
      </c>
      <c r="F50" s="11">
        <v>13.988107567580675</v>
      </c>
      <c r="G50" s="10">
        <v>1.49</v>
      </c>
      <c r="H50" s="12">
        <v>0.12597550749603545</v>
      </c>
      <c r="I50" s="13">
        <v>8.3000000000000004E-2</v>
      </c>
      <c r="J50" s="13">
        <v>4.9000000000000002E-2</v>
      </c>
    </row>
    <row r="51" spans="2:10" x14ac:dyDescent="0.25">
      <c r="B51" s="27" t="s">
        <v>5</v>
      </c>
      <c r="C51" s="9">
        <v>2017</v>
      </c>
      <c r="D51" s="10">
        <v>8.74</v>
      </c>
      <c r="E51" s="10">
        <v>17.39</v>
      </c>
      <c r="F51" s="11">
        <v>13.760262400774696</v>
      </c>
      <c r="G51" s="10">
        <v>1.35</v>
      </c>
      <c r="H51" s="12">
        <v>4.3724799618493307E-2</v>
      </c>
      <c r="I51" s="13">
        <v>6.8000000000000005E-2</v>
      </c>
      <c r="J51" s="13">
        <v>3.3000000000000002E-2</v>
      </c>
    </row>
    <row r="52" spans="2:10" x14ac:dyDescent="0.25">
      <c r="B52" s="27" t="s">
        <v>5</v>
      </c>
      <c r="C52" s="9">
        <v>2018</v>
      </c>
      <c r="D52" s="10">
        <v>9.9</v>
      </c>
      <c r="E52" s="10">
        <v>18.420000000000002</v>
      </c>
      <c r="F52" s="11">
        <v>13.744428219346188</v>
      </c>
      <c r="G52" s="10">
        <v>0.87</v>
      </c>
      <c r="H52" s="12">
        <v>0.1000100411918238</v>
      </c>
      <c r="I52" s="13">
        <v>6.5000000000000002E-2</v>
      </c>
      <c r="J52" s="13">
        <v>3.9E-2</v>
      </c>
    </row>
    <row r="53" spans="2:10" x14ac:dyDescent="0.25">
      <c r="B53" s="27" t="s">
        <v>5</v>
      </c>
      <c r="C53" s="9">
        <v>2019</v>
      </c>
      <c r="D53" s="10">
        <v>7.38</v>
      </c>
      <c r="E53" s="10">
        <v>16.89</v>
      </c>
      <c r="F53" s="11">
        <v>13.699586780316029</v>
      </c>
      <c r="G53" s="10">
        <v>0.39</v>
      </c>
      <c r="H53" s="12">
        <v>0.14131933520449733</v>
      </c>
      <c r="I53" s="13">
        <v>3.9E-2</v>
      </c>
      <c r="J53" s="13">
        <v>3.6999999999999998E-2</v>
      </c>
    </row>
    <row r="54" spans="2:10" x14ac:dyDescent="0.25">
      <c r="B54" s="27" t="s">
        <v>5</v>
      </c>
      <c r="C54" s="9">
        <v>2020</v>
      </c>
      <c r="D54" s="10">
        <v>6.04</v>
      </c>
      <c r="E54" s="10">
        <v>16.11</v>
      </c>
      <c r="F54" s="11">
        <v>13.5409764706926</v>
      </c>
      <c r="G54" s="10">
        <v>0.81</v>
      </c>
      <c r="H54" s="12">
        <v>9.1635150293405798E-2</v>
      </c>
      <c r="I54" s="13">
        <v>-5.8000000000000003E-2</v>
      </c>
      <c r="J54" s="13">
        <v>6.6000000000000003E-2</v>
      </c>
    </row>
    <row r="55" spans="2:10" x14ac:dyDescent="0.25">
      <c r="B55" s="27" t="s">
        <v>5</v>
      </c>
      <c r="C55" s="9">
        <v>2021</v>
      </c>
      <c r="D55" s="10">
        <v>5.33</v>
      </c>
      <c r="E55" s="10">
        <v>19.12</v>
      </c>
      <c r="F55" s="11">
        <v>13.662397955814562</v>
      </c>
      <c r="G55" s="10">
        <v>1.42</v>
      </c>
      <c r="H55" s="12">
        <v>0.12114088576500627</v>
      </c>
      <c r="I55" s="13">
        <v>9.7000000000000003E-2</v>
      </c>
      <c r="J55" s="13">
        <v>5.0999999999999997E-2</v>
      </c>
    </row>
    <row r="56" spans="2:10" x14ac:dyDescent="0.25">
      <c r="B56" s="27" t="s">
        <v>5</v>
      </c>
      <c r="C56" s="9">
        <v>2022</v>
      </c>
      <c r="D56" s="10">
        <v>3.76</v>
      </c>
      <c r="E56" s="10">
        <v>19.2</v>
      </c>
      <c r="F56" s="11">
        <v>13.67141649047082</v>
      </c>
      <c r="G56" s="10">
        <v>1.84</v>
      </c>
      <c r="H56" s="12">
        <v>8.4893822991635712E-2</v>
      </c>
      <c r="I56" s="13">
        <v>7.5999999999999998E-2</v>
      </c>
      <c r="J56" s="13">
        <v>6.7000000000000004E-2</v>
      </c>
    </row>
    <row r="57" spans="2:10" x14ac:dyDescent="0.25">
      <c r="B57" s="27" t="s">
        <v>5</v>
      </c>
      <c r="C57" s="9">
        <v>2023</v>
      </c>
      <c r="D57" s="10">
        <v>2.87</v>
      </c>
      <c r="E57" s="10">
        <v>18.3</v>
      </c>
      <c r="F57" s="11">
        <v>13.503257065577994</v>
      </c>
      <c r="G57" s="10">
        <v>2.16</v>
      </c>
      <c r="H57" s="12">
        <v>0.18697793324566053</v>
      </c>
      <c r="I57" s="13">
        <v>9.1999999999999998E-2</v>
      </c>
      <c r="J57" s="13">
        <v>5.6000000000000001E-2</v>
      </c>
    </row>
    <row r="58" spans="2:10" x14ac:dyDescent="0.25">
      <c r="B58" s="31"/>
      <c r="C58" s="32"/>
      <c r="D58" s="32"/>
      <c r="E58" s="32"/>
      <c r="F58" s="32"/>
      <c r="G58" s="32"/>
      <c r="H58" s="32"/>
      <c r="I58" s="32"/>
      <c r="J58" s="33"/>
    </row>
    <row r="59" spans="2:10" x14ac:dyDescent="0.25">
      <c r="B59" s="27" t="s">
        <v>19</v>
      </c>
      <c r="C59" s="9">
        <v>2014</v>
      </c>
      <c r="D59" s="10">
        <v>1.34</v>
      </c>
      <c r="E59" s="10">
        <v>16.07</v>
      </c>
      <c r="F59" s="11">
        <v>10.671967829478543</v>
      </c>
      <c r="G59" s="10">
        <v>1.78</v>
      </c>
      <c r="H59" s="12" t="s">
        <v>25</v>
      </c>
      <c r="I59" s="13">
        <v>7.3999999999999996E-2</v>
      </c>
      <c r="J59" s="13">
        <v>6.7000000000000004E-2</v>
      </c>
    </row>
    <row r="60" spans="2:10" x14ac:dyDescent="0.25">
      <c r="B60" s="27" t="s">
        <v>19</v>
      </c>
      <c r="C60" s="9">
        <v>2015</v>
      </c>
      <c r="D60" s="10">
        <v>1.43</v>
      </c>
      <c r="E60" s="10">
        <v>15.09</v>
      </c>
      <c r="F60" s="11">
        <v>10.801852981836804</v>
      </c>
      <c r="G60" s="10">
        <v>1.83</v>
      </c>
      <c r="H60" s="12">
        <v>0.20896953952292063</v>
      </c>
      <c r="I60" s="13">
        <v>0.08</v>
      </c>
      <c r="J60" s="13">
        <v>4.9000000000000002E-2</v>
      </c>
    </row>
    <row r="61" spans="2:10" x14ac:dyDescent="0.25">
      <c r="B61" s="27" t="s">
        <v>19</v>
      </c>
      <c r="C61" s="9">
        <v>2016</v>
      </c>
      <c r="D61" s="10">
        <v>1.75</v>
      </c>
      <c r="E61" s="10">
        <v>15.29</v>
      </c>
      <c r="F61" s="11">
        <v>10.896208073345836</v>
      </c>
      <c r="G61" s="10">
        <v>1.72</v>
      </c>
      <c r="H61" s="12">
        <v>0.20524542572834359</v>
      </c>
      <c r="I61" s="13">
        <v>8.3000000000000004E-2</v>
      </c>
      <c r="J61" s="13">
        <v>4.9000000000000002E-2</v>
      </c>
    </row>
    <row r="62" spans="2:10" x14ac:dyDescent="0.25">
      <c r="B62" s="27" t="s">
        <v>19</v>
      </c>
      <c r="C62" s="9">
        <v>2017</v>
      </c>
      <c r="D62" s="10">
        <v>5.42</v>
      </c>
      <c r="E62" s="10">
        <v>14.95</v>
      </c>
      <c r="F62" s="11">
        <v>10.901406565167418</v>
      </c>
      <c r="G62" s="10">
        <v>0.65</v>
      </c>
      <c r="H62" s="12">
        <v>0.10123268019387556</v>
      </c>
      <c r="I62" s="13">
        <v>6.8000000000000005E-2</v>
      </c>
      <c r="J62" s="13">
        <v>3.3000000000000002E-2</v>
      </c>
    </row>
    <row r="63" spans="2:10" x14ac:dyDescent="0.25">
      <c r="B63" s="27" t="s">
        <v>19</v>
      </c>
      <c r="C63" s="9">
        <v>2018</v>
      </c>
      <c r="D63" s="10">
        <v>7.38</v>
      </c>
      <c r="E63" s="10">
        <v>16.57</v>
      </c>
      <c r="F63" s="11">
        <v>11.018753397730611</v>
      </c>
      <c r="G63" s="10">
        <v>0.04</v>
      </c>
      <c r="H63" s="12">
        <v>0.17846832623455713</v>
      </c>
      <c r="I63" s="13">
        <v>6.5000000000000002E-2</v>
      </c>
      <c r="J63" s="13">
        <v>3.9E-2</v>
      </c>
    </row>
    <row r="64" spans="2:10" x14ac:dyDescent="0.25">
      <c r="B64" s="27" t="s">
        <v>19</v>
      </c>
      <c r="C64" s="9">
        <v>2019</v>
      </c>
      <c r="D64" s="10">
        <v>5.31</v>
      </c>
      <c r="E64" s="10">
        <v>15.84</v>
      </c>
      <c r="F64" s="11">
        <v>10.777729496019392</v>
      </c>
      <c r="G64" s="10">
        <v>0.63</v>
      </c>
      <c r="H64" s="12">
        <v>0.10454452405322416</v>
      </c>
      <c r="I64" s="13">
        <v>3.9E-2</v>
      </c>
      <c r="J64" s="13">
        <v>3.6999999999999998E-2</v>
      </c>
    </row>
    <row r="65" spans="2:10" x14ac:dyDescent="0.25">
      <c r="B65" s="27" t="s">
        <v>19</v>
      </c>
      <c r="C65" s="9">
        <v>2020</v>
      </c>
      <c r="D65" s="10">
        <v>4.8600000000000003</v>
      </c>
      <c r="E65" s="10">
        <v>17.53</v>
      </c>
      <c r="F65" s="11">
        <v>10.890675049008655</v>
      </c>
      <c r="G65" s="10">
        <v>0.2</v>
      </c>
      <c r="H65" s="12">
        <v>0.14751664391192162</v>
      </c>
      <c r="I65" s="13">
        <v>-5.8000000000000003E-2</v>
      </c>
      <c r="J65" s="13">
        <v>6.6000000000000003E-2</v>
      </c>
    </row>
    <row r="66" spans="2:10" x14ac:dyDescent="0.25">
      <c r="B66" s="27" t="s">
        <v>19</v>
      </c>
      <c r="C66" s="9">
        <v>2021</v>
      </c>
      <c r="D66" s="10">
        <v>3.54</v>
      </c>
      <c r="E66" s="10">
        <v>19.12</v>
      </c>
      <c r="F66" s="11">
        <v>10.879885125142401</v>
      </c>
      <c r="G66" s="10">
        <v>0.7</v>
      </c>
      <c r="H66" s="12">
        <v>0.10255738458032226</v>
      </c>
      <c r="I66" s="13">
        <v>9.7000000000000003E-2</v>
      </c>
      <c r="J66" s="13">
        <v>5.0999999999999997E-2</v>
      </c>
    </row>
    <row r="67" spans="2:10" x14ac:dyDescent="0.25">
      <c r="B67" s="27" t="s">
        <v>19</v>
      </c>
      <c r="C67" s="9">
        <v>2022</v>
      </c>
      <c r="D67" s="10">
        <v>2.57</v>
      </c>
      <c r="E67" s="10">
        <v>18.54</v>
      </c>
      <c r="F67" s="11">
        <v>10.967537554049558</v>
      </c>
      <c r="G67" s="10">
        <v>1.21</v>
      </c>
      <c r="H67" s="12">
        <v>0.152259362401306</v>
      </c>
      <c r="I67" s="13">
        <v>7.5999999999999998E-2</v>
      </c>
      <c r="J67" s="13">
        <v>6.7000000000000004E-2</v>
      </c>
    </row>
    <row r="68" spans="2:10" x14ac:dyDescent="0.25">
      <c r="B68" s="27" t="s">
        <v>19</v>
      </c>
      <c r="C68" s="9">
        <v>2023</v>
      </c>
      <c r="D68" s="10">
        <v>1.98</v>
      </c>
      <c r="E68" s="10">
        <v>17.64</v>
      </c>
      <c r="F68" s="11">
        <v>10.847214641683426</v>
      </c>
      <c r="G68" s="10">
        <v>1.82</v>
      </c>
      <c r="H68" s="12">
        <v>0.19402017382657177</v>
      </c>
      <c r="I68" s="13">
        <v>9.1999999999999998E-2</v>
      </c>
      <c r="J68" s="13">
        <v>5.6000000000000001E-2</v>
      </c>
    </row>
  </sheetData>
  <mergeCells count="7">
    <mergeCell ref="E2:H2"/>
    <mergeCell ref="I2:J2"/>
    <mergeCell ref="B14:J14"/>
    <mergeCell ref="B58:J58"/>
    <mergeCell ref="B47:J47"/>
    <mergeCell ref="B36:J36"/>
    <mergeCell ref="B25:J2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1C8D1-7449-4275-8AFD-14FFCE6B4ACA}">
  <sheetPr>
    <tabColor theme="7" tint="0.39997558519241921"/>
  </sheetPr>
  <dimension ref="B2:N67"/>
  <sheetViews>
    <sheetView showGridLines="0" workbookViewId="0">
      <selection activeCell="K17" sqref="K17"/>
    </sheetView>
  </sheetViews>
  <sheetFormatPr defaultRowHeight="13.8" x14ac:dyDescent="0.25"/>
  <cols>
    <col min="4" max="4" width="11.6640625" bestFit="1" customWidth="1"/>
    <col min="5" max="5" width="21.109375" bestFit="1" customWidth="1"/>
    <col min="6" max="6" width="17.5546875" customWidth="1"/>
    <col min="7" max="7" width="12.33203125" bestFit="1" customWidth="1"/>
    <col min="8" max="8" width="17.33203125" customWidth="1"/>
    <col min="9" max="9" width="10.6640625" bestFit="1" customWidth="1"/>
    <col min="12" max="12" width="10.77734375" bestFit="1" customWidth="1"/>
    <col min="13" max="13" width="10.6640625" bestFit="1" customWidth="1"/>
  </cols>
  <sheetData>
    <row r="2" spans="2:12" x14ac:dyDescent="0.25">
      <c r="B2" s="21" t="s">
        <v>11</v>
      </c>
      <c r="C2" s="21" t="s">
        <v>12</v>
      </c>
      <c r="D2" s="21" t="s">
        <v>22</v>
      </c>
      <c r="E2" s="21" t="s">
        <v>23</v>
      </c>
      <c r="F2" s="21" t="s">
        <v>24</v>
      </c>
      <c r="G2" s="22"/>
      <c r="H2" s="21" t="s">
        <v>16</v>
      </c>
    </row>
    <row r="3" spans="2:12" x14ac:dyDescent="0.25">
      <c r="B3" s="20" t="s">
        <v>1</v>
      </c>
      <c r="C3" s="9">
        <v>2014</v>
      </c>
      <c r="D3" s="15">
        <v>267489.78000000003</v>
      </c>
      <c r="E3" s="16">
        <f>LN(D3)</f>
        <v>12.496836638980868</v>
      </c>
      <c r="F3" s="17">
        <v>1569441.11</v>
      </c>
      <c r="G3" s="4"/>
      <c r="H3" s="12" t="s">
        <v>25</v>
      </c>
    </row>
    <row r="4" spans="2:12" x14ac:dyDescent="0.25">
      <c r="B4" s="20" t="s">
        <v>1</v>
      </c>
      <c r="C4" s="9">
        <v>2015</v>
      </c>
      <c r="D4" s="15">
        <v>300768.24</v>
      </c>
      <c r="E4" s="16">
        <f t="shared" ref="E4:E67" si="0">LN(D4)</f>
        <v>12.614095280376938</v>
      </c>
      <c r="F4" s="17">
        <v>1423781.72</v>
      </c>
      <c r="G4" s="4"/>
      <c r="H4" s="12">
        <f>(F4-F3)/F3</f>
        <v>-9.280972001555389E-2</v>
      </c>
    </row>
    <row r="5" spans="2:12" x14ac:dyDescent="0.25">
      <c r="B5" s="20" t="s">
        <v>1</v>
      </c>
      <c r="C5" s="9">
        <v>2016</v>
      </c>
      <c r="D5" s="15">
        <v>328273.26</v>
      </c>
      <c r="E5" s="16">
        <f t="shared" si="0"/>
        <v>12.701601650279072</v>
      </c>
      <c r="F5" s="17">
        <v>1509499.82</v>
      </c>
      <c r="G5" s="4"/>
      <c r="H5" s="12">
        <f t="shared" ref="H5:H12" si="1">(F5-F4)/F4</f>
        <v>6.0204523485524235E-2</v>
      </c>
      <c r="K5" s="23"/>
      <c r="L5" s="29" t="s">
        <v>35</v>
      </c>
    </row>
    <row r="6" spans="2:12" x14ac:dyDescent="0.25">
      <c r="B6" s="20" t="s">
        <v>1</v>
      </c>
      <c r="C6" s="9">
        <v>2017</v>
      </c>
      <c r="D6" s="15">
        <v>360431.47</v>
      </c>
      <c r="E6" s="16">
        <f t="shared" si="0"/>
        <v>12.795057120549021</v>
      </c>
      <c r="F6" s="17">
        <v>1627277.54</v>
      </c>
      <c r="G6" s="4"/>
      <c r="H6" s="12">
        <f t="shared" si="1"/>
        <v>7.8024335239735218E-2</v>
      </c>
      <c r="K6" s="24"/>
      <c r="L6" s="29" t="s">
        <v>36</v>
      </c>
    </row>
    <row r="7" spans="2:12" x14ac:dyDescent="0.25">
      <c r="B7" s="20" t="s">
        <v>1</v>
      </c>
      <c r="C7" s="9">
        <v>2018</v>
      </c>
      <c r="D7" s="15">
        <v>384990.79</v>
      </c>
      <c r="E7" s="16">
        <f t="shared" si="0"/>
        <v>12.860974690905861</v>
      </c>
      <c r="F7" s="17">
        <v>2048387.3</v>
      </c>
      <c r="G7" s="4"/>
      <c r="H7" s="12">
        <f t="shared" si="1"/>
        <v>0.25878176872028846</v>
      </c>
    </row>
    <row r="8" spans="2:12" x14ac:dyDescent="0.25">
      <c r="B8" s="20" t="s">
        <v>1</v>
      </c>
      <c r="C8" s="9">
        <v>2019</v>
      </c>
      <c r="D8" s="15">
        <v>395123.25</v>
      </c>
      <c r="E8" s="16">
        <f t="shared" si="0"/>
        <v>12.886953020529939</v>
      </c>
      <c r="F8" s="17">
        <v>2293454.12</v>
      </c>
      <c r="G8" s="4"/>
      <c r="H8" s="12">
        <f t="shared" si="1"/>
        <v>0.11963890813031308</v>
      </c>
    </row>
    <row r="9" spans="2:12" x14ac:dyDescent="0.25">
      <c r="B9" s="20" t="s">
        <v>1</v>
      </c>
      <c r="C9" s="9">
        <v>2020</v>
      </c>
      <c r="D9" s="15">
        <v>440004.06</v>
      </c>
      <c r="E9" s="16">
        <f t="shared" si="0"/>
        <v>12.9945392331246</v>
      </c>
      <c r="F9" s="17">
        <v>2422844.77</v>
      </c>
      <c r="G9" s="4"/>
      <c r="H9" s="12">
        <f t="shared" si="1"/>
        <v>5.6417370145603739E-2</v>
      </c>
    </row>
    <row r="10" spans="2:12" x14ac:dyDescent="0.25">
      <c r="B10" s="20" t="s">
        <v>1</v>
      </c>
      <c r="C10" s="9">
        <v>2021</v>
      </c>
      <c r="D10" s="15">
        <v>477577.94</v>
      </c>
      <c r="E10" s="16">
        <f t="shared" si="0"/>
        <v>13.076482650714039</v>
      </c>
      <c r="F10" s="17">
        <v>2539393.27</v>
      </c>
      <c r="G10" s="4"/>
      <c r="H10" s="12">
        <f t="shared" si="1"/>
        <v>4.8103989757461843E-2</v>
      </c>
    </row>
    <row r="11" spans="2:12" x14ac:dyDescent="0.25">
      <c r="B11" s="20" t="s">
        <v>1</v>
      </c>
      <c r="C11" s="9">
        <v>2022</v>
      </c>
      <c r="D11" s="15">
        <v>531255.44999999995</v>
      </c>
      <c r="E11" s="16">
        <f t="shared" si="0"/>
        <v>13.182998257991672</v>
      </c>
      <c r="F11" s="17">
        <v>2818670.91</v>
      </c>
      <c r="G11" s="4"/>
      <c r="H11" s="12">
        <f t="shared" si="1"/>
        <v>0.10997809724840302</v>
      </c>
    </row>
    <row r="12" spans="2:12" x14ac:dyDescent="0.25">
      <c r="B12" s="20" t="s">
        <v>1</v>
      </c>
      <c r="C12" s="9">
        <v>2023</v>
      </c>
      <c r="D12" s="15">
        <v>607517.76</v>
      </c>
      <c r="E12" s="16">
        <f t="shared" si="0"/>
        <v>13.31713668833742</v>
      </c>
      <c r="F12" s="17">
        <v>3269241.81</v>
      </c>
      <c r="G12" s="4"/>
      <c r="H12" s="12">
        <f t="shared" si="1"/>
        <v>0.15985225462166489</v>
      </c>
    </row>
    <row r="13" spans="2:12" x14ac:dyDescent="0.25">
      <c r="B13" s="20"/>
      <c r="C13" s="9"/>
      <c r="D13" s="15"/>
      <c r="E13" s="16"/>
      <c r="F13" s="18"/>
      <c r="G13" s="4"/>
      <c r="H13" s="12"/>
    </row>
    <row r="14" spans="2:12" x14ac:dyDescent="0.25">
      <c r="B14" s="20" t="s">
        <v>2</v>
      </c>
      <c r="C14" s="9">
        <v>2014</v>
      </c>
      <c r="D14" s="15">
        <v>64474.58</v>
      </c>
      <c r="E14" s="16">
        <f t="shared" si="0"/>
        <v>11.074026316575557</v>
      </c>
      <c r="F14" s="17">
        <v>359645.78</v>
      </c>
      <c r="G14" s="4"/>
      <c r="H14" s="12" t="s">
        <v>25</v>
      </c>
    </row>
    <row r="15" spans="2:12" x14ac:dyDescent="0.25">
      <c r="B15" s="20" t="s">
        <v>2</v>
      </c>
      <c r="C15" s="9">
        <v>2015</v>
      </c>
      <c r="D15" s="15">
        <v>79886.009999999995</v>
      </c>
      <c r="E15" s="16">
        <f>LN(D15)</f>
        <v>11.288356022556311</v>
      </c>
      <c r="F15" s="17">
        <v>392422.15</v>
      </c>
      <c r="G15" s="4"/>
      <c r="H15" s="12">
        <f>(F15-F14)/F14</f>
        <v>9.1135144140993371E-2</v>
      </c>
    </row>
    <row r="16" spans="2:12" x14ac:dyDescent="0.25">
      <c r="B16" s="20" t="s">
        <v>2</v>
      </c>
      <c r="C16" s="9">
        <v>2016</v>
      </c>
      <c r="D16" s="15">
        <v>95061.84</v>
      </c>
      <c r="E16" s="16">
        <f t="shared" si="0"/>
        <v>11.462282906176759</v>
      </c>
      <c r="F16" s="17">
        <v>432775.04</v>
      </c>
      <c r="G16" s="4"/>
      <c r="H16" s="12">
        <f t="shared" ref="H16:H67" si="2">(F16-F15)/F15</f>
        <v>0.1028303065971173</v>
      </c>
    </row>
    <row r="17" spans="2:8" x14ac:dyDescent="0.25">
      <c r="B17" s="20" t="s">
        <v>2</v>
      </c>
      <c r="C17" s="9">
        <v>2017</v>
      </c>
      <c r="D17" s="15">
        <v>85293</v>
      </c>
      <c r="E17" s="16">
        <f t="shared" si="0"/>
        <v>11.353847666806415</v>
      </c>
      <c r="F17" s="17">
        <v>441751.36</v>
      </c>
      <c r="G17" s="4"/>
      <c r="H17" s="12">
        <f t="shared" si="2"/>
        <v>2.074130707722887E-2</v>
      </c>
    </row>
    <row r="18" spans="2:8" x14ac:dyDescent="0.25">
      <c r="B18" s="20" t="s">
        <v>2</v>
      </c>
      <c r="C18" s="9">
        <v>2018</v>
      </c>
      <c r="D18" s="14">
        <v>78390.009999999995</v>
      </c>
      <c r="E18" s="16">
        <f t="shared" si="0"/>
        <v>11.269451774750051</v>
      </c>
      <c r="F18" s="17">
        <v>471296.6</v>
      </c>
      <c r="G18" s="4"/>
      <c r="H18" s="12">
        <f t="shared" si="2"/>
        <v>6.6882057816415083E-2</v>
      </c>
    </row>
    <row r="19" spans="2:8" x14ac:dyDescent="0.25">
      <c r="B19" s="20" t="s">
        <v>2</v>
      </c>
      <c r="C19" s="9">
        <v>2019</v>
      </c>
      <c r="D19" s="15">
        <v>42045.3</v>
      </c>
      <c r="E19" s="16">
        <f t="shared" si="0"/>
        <v>10.646502887453815</v>
      </c>
      <c r="F19" s="17">
        <v>506194.3</v>
      </c>
      <c r="G19" s="4"/>
      <c r="H19" s="12">
        <f t="shared" si="2"/>
        <v>7.4046152677528357E-2</v>
      </c>
    </row>
    <row r="20" spans="2:8" x14ac:dyDescent="0.25">
      <c r="B20" s="20" t="s">
        <v>2</v>
      </c>
      <c r="C20" s="9">
        <v>2020</v>
      </c>
      <c r="D20" s="14">
        <v>37370.68</v>
      </c>
      <c r="E20" s="16">
        <f t="shared" si="0"/>
        <v>10.528641718728213</v>
      </c>
      <c r="F20" s="17">
        <v>516928.29</v>
      </c>
      <c r="G20" s="4"/>
      <c r="H20" s="12">
        <f t="shared" si="2"/>
        <v>2.1205276313858119E-2</v>
      </c>
    </row>
    <row r="21" spans="2:8" x14ac:dyDescent="0.25">
      <c r="B21" s="20" t="s">
        <v>2</v>
      </c>
      <c r="C21" s="9">
        <v>2021</v>
      </c>
      <c r="D21" s="14">
        <v>45802.81</v>
      </c>
      <c r="E21" s="16">
        <f t="shared" si="0"/>
        <v>10.732100721932005</v>
      </c>
      <c r="F21" s="17">
        <v>739407.42</v>
      </c>
      <c r="G21" s="4"/>
      <c r="H21" s="12">
        <f t="shared" si="2"/>
        <v>0.43038683373277958</v>
      </c>
    </row>
    <row r="22" spans="2:8" x14ac:dyDescent="0.25">
      <c r="B22" s="20" t="s">
        <v>2</v>
      </c>
      <c r="C22" s="9">
        <v>2022</v>
      </c>
      <c r="D22" s="14">
        <v>43561.22</v>
      </c>
      <c r="E22" s="16">
        <f t="shared" si="0"/>
        <v>10.681922584000887</v>
      </c>
      <c r="F22" s="17">
        <v>785104.36</v>
      </c>
      <c r="G22" s="4"/>
      <c r="H22" s="12">
        <f t="shared" si="2"/>
        <v>6.1802111750514949E-2</v>
      </c>
    </row>
    <row r="23" spans="2:8" x14ac:dyDescent="0.25">
      <c r="B23" s="20" t="s">
        <v>2</v>
      </c>
      <c r="C23" s="9">
        <v>2023</v>
      </c>
      <c r="D23" s="15">
        <v>61211</v>
      </c>
      <c r="E23" s="16">
        <f t="shared" si="0"/>
        <v>11.022082190911469</v>
      </c>
      <c r="F23" s="17">
        <v>884680.69</v>
      </c>
      <c r="G23" s="4"/>
      <c r="H23" s="12">
        <f t="shared" si="2"/>
        <v>0.12683196664453622</v>
      </c>
    </row>
    <row r="24" spans="2:8" x14ac:dyDescent="0.25">
      <c r="B24" s="20"/>
      <c r="C24" s="9"/>
      <c r="D24" s="15"/>
      <c r="E24" s="16"/>
      <c r="F24" s="18"/>
      <c r="G24" s="4"/>
      <c r="H24" s="12"/>
    </row>
    <row r="25" spans="2:8" x14ac:dyDescent="0.25">
      <c r="B25" s="20" t="s">
        <v>3</v>
      </c>
      <c r="C25" s="9">
        <v>2014</v>
      </c>
      <c r="D25" s="17">
        <v>231551.92</v>
      </c>
      <c r="E25" s="16">
        <f t="shared" si="0"/>
        <v>12.352559403820104</v>
      </c>
      <c r="F25" s="17">
        <v>277854.68</v>
      </c>
      <c r="G25" s="4"/>
      <c r="H25" s="12" t="s">
        <v>25</v>
      </c>
    </row>
    <row r="26" spans="2:8" x14ac:dyDescent="0.25">
      <c r="B26" s="20" t="s">
        <v>3</v>
      </c>
      <c r="C26" s="9">
        <v>2015</v>
      </c>
      <c r="D26" s="17">
        <v>250117.16</v>
      </c>
      <c r="E26" s="16">
        <f t="shared" si="0"/>
        <v>12.429684727066954</v>
      </c>
      <c r="F26" s="17">
        <v>299805.78000000003</v>
      </c>
      <c r="G26" s="4"/>
      <c r="H26" s="12">
        <f t="shared" si="2"/>
        <v>7.9002088429822509E-2</v>
      </c>
    </row>
    <row r="27" spans="2:8" x14ac:dyDescent="0.25">
      <c r="B27" s="20" t="s">
        <v>3</v>
      </c>
      <c r="C27" s="9">
        <v>2016</v>
      </c>
      <c r="D27" s="17">
        <v>227495.36</v>
      </c>
      <c r="E27" s="16">
        <f t="shared" si="0"/>
        <v>12.334885121560752</v>
      </c>
      <c r="F27" s="17">
        <v>280915.46999999997</v>
      </c>
      <c r="G27" s="4"/>
      <c r="H27" s="12">
        <f t="shared" si="2"/>
        <v>-6.3008491697525162E-2</v>
      </c>
    </row>
    <row r="28" spans="2:8" x14ac:dyDescent="0.25">
      <c r="B28" s="20" t="s">
        <v>3</v>
      </c>
      <c r="C28" s="9">
        <v>2017</v>
      </c>
      <c r="D28" s="17">
        <v>202474.79</v>
      </c>
      <c r="E28" s="16">
        <f t="shared" si="0"/>
        <v>12.218370663951571</v>
      </c>
      <c r="F28" s="19">
        <v>408511</v>
      </c>
      <c r="G28" s="4"/>
      <c r="H28" s="12">
        <f t="shared" si="2"/>
        <v>0.45421325496954668</v>
      </c>
    </row>
    <row r="29" spans="2:8" x14ac:dyDescent="0.25">
      <c r="B29" s="20" t="s">
        <v>3</v>
      </c>
      <c r="C29" s="9">
        <v>2018</v>
      </c>
      <c r="D29" s="17">
        <v>166712.60999999999</v>
      </c>
      <c r="E29" s="16">
        <f t="shared" si="0"/>
        <v>12.024026710748982</v>
      </c>
      <c r="F29" s="19">
        <v>460744</v>
      </c>
      <c r="G29" s="4"/>
      <c r="H29" s="12">
        <f t="shared" si="2"/>
        <v>0.12786191803892674</v>
      </c>
    </row>
    <row r="30" spans="2:8" x14ac:dyDescent="0.25">
      <c r="B30" s="20" t="s">
        <v>3</v>
      </c>
      <c r="C30" s="9">
        <v>2019</v>
      </c>
      <c r="D30" s="17">
        <v>170893.99</v>
      </c>
      <c r="E30" s="16">
        <f t="shared" si="0"/>
        <v>12.048798701721127</v>
      </c>
      <c r="F30" s="19">
        <v>501706</v>
      </c>
      <c r="G30" s="4"/>
      <c r="H30" s="12">
        <f t="shared" si="2"/>
        <v>8.8904033476290528E-2</v>
      </c>
    </row>
    <row r="31" spans="2:8" x14ac:dyDescent="0.25">
      <c r="B31" s="20" t="s">
        <v>3</v>
      </c>
      <c r="C31" s="9">
        <v>2020</v>
      </c>
      <c r="D31" s="17">
        <v>199846.24</v>
      </c>
      <c r="E31" s="16">
        <f t="shared" si="0"/>
        <v>12.2053035498519</v>
      </c>
      <c r="F31" s="19">
        <v>738096</v>
      </c>
      <c r="G31" s="4"/>
      <c r="H31" s="12">
        <f t="shared" si="2"/>
        <v>0.47117235990799394</v>
      </c>
    </row>
    <row r="32" spans="2:8" x14ac:dyDescent="0.25">
      <c r="B32" s="20" t="s">
        <v>3</v>
      </c>
      <c r="C32" s="9">
        <v>2021</v>
      </c>
      <c r="D32" s="17">
        <v>184987.68</v>
      </c>
      <c r="E32" s="16">
        <f t="shared" si="0"/>
        <v>12.128044507248349</v>
      </c>
      <c r="F32" s="19">
        <v>751590</v>
      </c>
      <c r="G32" s="4"/>
      <c r="H32" s="12">
        <f t="shared" si="2"/>
        <v>1.8282174676464851E-2</v>
      </c>
    </row>
    <row r="33" spans="2:14" x14ac:dyDescent="0.25">
      <c r="B33" s="20" t="s">
        <v>3</v>
      </c>
      <c r="C33" s="9">
        <v>2022</v>
      </c>
      <c r="D33" s="17">
        <v>187124.1</v>
      </c>
      <c r="E33" s="16">
        <f t="shared" si="0"/>
        <v>12.139527312091126</v>
      </c>
      <c r="F33" s="19">
        <v>818120</v>
      </c>
      <c r="G33" s="4"/>
      <c r="H33" s="12">
        <f t="shared" si="2"/>
        <v>8.8519006373155573E-2</v>
      </c>
    </row>
    <row r="34" spans="2:14" x14ac:dyDescent="0.25">
      <c r="B34" s="20" t="s">
        <v>3</v>
      </c>
      <c r="C34" s="9">
        <v>2023</v>
      </c>
      <c r="D34" s="17">
        <v>210458.15</v>
      </c>
      <c r="E34" s="16">
        <f t="shared" si="0"/>
        <v>12.257042099987233</v>
      </c>
      <c r="F34" s="19">
        <v>969548</v>
      </c>
      <c r="G34" s="4"/>
      <c r="H34" s="12">
        <f t="shared" si="2"/>
        <v>0.18509265144477582</v>
      </c>
      <c r="N34" t="s">
        <v>27</v>
      </c>
    </row>
    <row r="35" spans="2:14" x14ac:dyDescent="0.25">
      <c r="B35" s="20"/>
      <c r="C35" s="9"/>
      <c r="D35" s="15"/>
      <c r="E35" s="16"/>
      <c r="F35" s="18"/>
      <c r="G35" s="4"/>
      <c r="H35" s="12"/>
    </row>
    <row r="36" spans="2:14" x14ac:dyDescent="0.25">
      <c r="B36" s="20" t="s">
        <v>18</v>
      </c>
      <c r="C36" s="9">
        <v>2014</v>
      </c>
      <c r="D36" s="17">
        <v>29790.35</v>
      </c>
      <c r="E36" s="16">
        <f t="shared" si="0"/>
        <v>10.301939794547341</v>
      </c>
      <c r="F36" s="17">
        <v>304963.21000000002</v>
      </c>
      <c r="G36" s="4"/>
      <c r="H36" s="12" t="s">
        <v>25</v>
      </c>
    </row>
    <row r="37" spans="2:14" x14ac:dyDescent="0.25">
      <c r="B37" s="20" t="s">
        <v>18</v>
      </c>
      <c r="C37" s="9">
        <v>2015</v>
      </c>
      <c r="D37" s="17">
        <v>31750.05</v>
      </c>
      <c r="E37" s="16">
        <f t="shared" si="0"/>
        <v>10.365649579122747</v>
      </c>
      <c r="F37" s="17">
        <v>367887.84</v>
      </c>
      <c r="G37" s="4"/>
      <c r="H37" s="12">
        <f t="shared" si="2"/>
        <v>0.20633515104985942</v>
      </c>
    </row>
    <row r="38" spans="2:14" x14ac:dyDescent="0.25">
      <c r="B38" s="20" t="s">
        <v>18</v>
      </c>
      <c r="C38" s="9">
        <v>2016</v>
      </c>
      <c r="D38" s="17">
        <v>35956.879999999997</v>
      </c>
      <c r="E38" s="16">
        <f t="shared" si="0"/>
        <v>10.490075721751346</v>
      </c>
      <c r="F38" s="17">
        <v>467579.38</v>
      </c>
      <c r="G38" s="4"/>
      <c r="H38" s="12">
        <f t="shared" si="2"/>
        <v>0.27098351497565121</v>
      </c>
    </row>
    <row r="39" spans="2:14" x14ac:dyDescent="0.25">
      <c r="B39" s="20" t="s">
        <v>18</v>
      </c>
      <c r="C39" s="9">
        <v>2017</v>
      </c>
      <c r="D39" s="17">
        <v>23911.48</v>
      </c>
      <c r="E39" s="16">
        <f t="shared" si="0"/>
        <v>10.082113957323838</v>
      </c>
      <c r="F39" s="17">
        <v>558566.64</v>
      </c>
      <c r="G39" s="4"/>
      <c r="H39" s="12">
        <f t="shared" si="2"/>
        <v>0.19459211396362261</v>
      </c>
    </row>
    <row r="40" spans="2:14" x14ac:dyDescent="0.25">
      <c r="B40" s="20" t="s">
        <v>18</v>
      </c>
      <c r="C40" s="9">
        <v>2018</v>
      </c>
      <c r="D40" s="17">
        <v>26946.53</v>
      </c>
      <c r="E40" s="16">
        <f t="shared" si="0"/>
        <v>10.201609811089925</v>
      </c>
      <c r="F40" s="17">
        <v>664254.34</v>
      </c>
      <c r="G40" s="4"/>
      <c r="H40" s="12">
        <f t="shared" si="2"/>
        <v>0.18921233820909883</v>
      </c>
    </row>
    <row r="41" spans="2:14" x14ac:dyDescent="0.25">
      <c r="B41" s="20" t="s">
        <v>18</v>
      </c>
      <c r="C41" s="9">
        <v>2019</v>
      </c>
      <c r="D41" s="17">
        <v>33714.21</v>
      </c>
      <c r="E41" s="16">
        <f t="shared" si="0"/>
        <v>10.425674689187201</v>
      </c>
      <c r="F41" s="17">
        <v>827334.92</v>
      </c>
      <c r="G41" s="4"/>
      <c r="H41" s="12">
        <f t="shared" si="2"/>
        <v>0.24550924273976152</v>
      </c>
    </row>
    <row r="42" spans="2:14" x14ac:dyDescent="0.25">
      <c r="B42" s="20" t="s">
        <v>18</v>
      </c>
      <c r="C42" s="9">
        <v>2020</v>
      </c>
      <c r="D42" s="17">
        <v>43257</v>
      </c>
      <c r="E42" s="16">
        <f t="shared" si="0"/>
        <v>10.674914348974756</v>
      </c>
      <c r="F42" s="17">
        <v>1002726.8</v>
      </c>
      <c r="G42" s="4"/>
      <c r="H42" s="12">
        <f t="shared" si="2"/>
        <v>0.21199622518048675</v>
      </c>
    </row>
    <row r="43" spans="2:14" x14ac:dyDescent="0.25">
      <c r="B43" s="20" t="s">
        <v>18</v>
      </c>
      <c r="C43" s="9">
        <v>2021</v>
      </c>
      <c r="D43" s="17">
        <v>43586.89</v>
      </c>
      <c r="E43" s="16">
        <f t="shared" si="0"/>
        <v>10.682511696048008</v>
      </c>
      <c r="F43" s="17">
        <v>1143308.6499999999</v>
      </c>
      <c r="G43" s="4"/>
      <c r="H43" s="12">
        <f t="shared" si="2"/>
        <v>0.14019955385654384</v>
      </c>
    </row>
    <row r="44" spans="2:14" x14ac:dyDescent="0.25">
      <c r="B44" s="20" t="s">
        <v>18</v>
      </c>
      <c r="C44" s="9">
        <v>2022</v>
      </c>
      <c r="D44" s="17">
        <v>58034.53</v>
      </c>
      <c r="E44" s="16">
        <f t="shared" si="0"/>
        <v>10.968793457208717</v>
      </c>
      <c r="F44" s="17">
        <v>1380514.22</v>
      </c>
      <c r="G44" s="4"/>
      <c r="H44" s="12">
        <f t="shared" si="2"/>
        <v>0.20747290768770102</v>
      </c>
    </row>
    <row r="45" spans="2:14" x14ac:dyDescent="0.25">
      <c r="B45" s="20" t="s">
        <v>18</v>
      </c>
      <c r="C45" s="9">
        <v>2023</v>
      </c>
      <c r="D45" s="17">
        <v>63136.81</v>
      </c>
      <c r="E45" s="16">
        <f t="shared" si="0"/>
        <v>11.053059238187586</v>
      </c>
      <c r="F45" s="17">
        <v>1614229.61</v>
      </c>
      <c r="G45" s="4"/>
      <c r="H45" s="12">
        <f t="shared" si="2"/>
        <v>0.16929589468480818</v>
      </c>
    </row>
    <row r="46" spans="2:14" x14ac:dyDescent="0.25">
      <c r="B46" s="20"/>
      <c r="C46" s="9"/>
      <c r="D46" s="14"/>
      <c r="E46" s="16"/>
      <c r="F46" s="18"/>
      <c r="G46" s="4"/>
      <c r="H46" s="12"/>
    </row>
    <row r="47" spans="2:14" x14ac:dyDescent="0.25">
      <c r="B47" s="20" t="s">
        <v>5</v>
      </c>
      <c r="C47" s="9">
        <v>2014</v>
      </c>
      <c r="D47" s="17">
        <v>1046422</v>
      </c>
      <c r="E47" s="16">
        <f t="shared" si="0"/>
        <v>13.860887283928893</v>
      </c>
      <c r="F47" s="19">
        <v>3873417806</v>
      </c>
      <c r="G47" s="34" t="s">
        <v>26</v>
      </c>
      <c r="H47" s="12" t="s">
        <v>25</v>
      </c>
    </row>
    <row r="48" spans="2:14" x14ac:dyDescent="0.25">
      <c r="B48" s="20" t="s">
        <v>5</v>
      </c>
      <c r="C48" s="9">
        <v>2015</v>
      </c>
      <c r="D48" s="17">
        <v>1203814.7</v>
      </c>
      <c r="E48" s="16">
        <f t="shared" si="0"/>
        <v>14.001005989352036</v>
      </c>
      <c r="F48" s="19">
        <v>4384900954</v>
      </c>
      <c r="G48" s="34"/>
      <c r="H48" s="12">
        <f t="shared" si="2"/>
        <v>0.13204956800882739</v>
      </c>
    </row>
    <row r="49" spans="2:8" x14ac:dyDescent="0.25">
      <c r="B49" s="20" t="s">
        <v>5</v>
      </c>
      <c r="C49" s="9">
        <v>2016</v>
      </c>
      <c r="D49" s="17">
        <v>1188387.1000000001</v>
      </c>
      <c r="E49" s="16">
        <f t="shared" si="0"/>
        <v>13.988107567580675</v>
      </c>
      <c r="F49" s="19">
        <v>4937291077</v>
      </c>
      <c r="G49" s="34"/>
      <c r="H49" s="12">
        <f t="shared" si="2"/>
        <v>0.12597550749603545</v>
      </c>
    </row>
    <row r="50" spans="2:8" x14ac:dyDescent="0.25">
      <c r="B50" s="20" t="s">
        <v>5</v>
      </c>
      <c r="C50" s="9">
        <v>2017</v>
      </c>
      <c r="D50" s="17">
        <v>946250.3</v>
      </c>
      <c r="E50" s="16">
        <f t="shared" si="0"/>
        <v>13.760262400774696</v>
      </c>
      <c r="F50" s="19">
        <v>5153173140</v>
      </c>
      <c r="G50" s="34"/>
      <c r="H50" s="12">
        <f t="shared" si="2"/>
        <v>4.3724799618493307E-2</v>
      </c>
    </row>
    <row r="51" spans="2:8" x14ac:dyDescent="0.25">
      <c r="B51" s="20" t="s">
        <v>5</v>
      </c>
      <c r="C51" s="9">
        <v>2018</v>
      </c>
      <c r="D51" s="17">
        <v>931385.2</v>
      </c>
      <c r="E51" s="16">
        <f t="shared" si="0"/>
        <v>13.744428219346188</v>
      </c>
      <c r="F51" s="19">
        <v>5668542198</v>
      </c>
      <c r="G51" s="34"/>
      <c r="H51" s="12">
        <f t="shared" si="2"/>
        <v>0.1000100411918238</v>
      </c>
    </row>
    <row r="52" spans="2:8" x14ac:dyDescent="0.25">
      <c r="B52" s="20" t="s">
        <v>5</v>
      </c>
      <c r="C52" s="9">
        <v>2019</v>
      </c>
      <c r="D52" s="17">
        <v>890543.1</v>
      </c>
      <c r="E52" s="16">
        <f t="shared" si="0"/>
        <v>13.699586780316029</v>
      </c>
      <c r="F52" s="19">
        <v>6469616813</v>
      </c>
      <c r="G52" s="34"/>
      <c r="H52" s="12">
        <f t="shared" si="2"/>
        <v>0.14131933520449733</v>
      </c>
    </row>
    <row r="53" spans="2:8" x14ac:dyDescent="0.25">
      <c r="B53" s="20" t="s">
        <v>5</v>
      </c>
      <c r="C53" s="9">
        <v>2020</v>
      </c>
      <c r="D53" s="17">
        <v>759926.1</v>
      </c>
      <c r="E53" s="16">
        <f t="shared" si="0"/>
        <v>13.5409764706926</v>
      </c>
      <c r="F53" s="18">
        <v>7062461122</v>
      </c>
      <c r="G53" s="34"/>
      <c r="H53" s="12">
        <f t="shared" si="2"/>
        <v>9.1635150293405798E-2</v>
      </c>
    </row>
    <row r="54" spans="2:8" x14ac:dyDescent="0.25">
      <c r="B54" s="20" t="s">
        <v>5</v>
      </c>
      <c r="C54" s="9">
        <v>2021</v>
      </c>
      <c r="D54" s="17">
        <v>858033.1</v>
      </c>
      <c r="E54" s="16">
        <f t="shared" si="0"/>
        <v>13.662397955814562</v>
      </c>
      <c r="F54" s="19">
        <v>7918013918</v>
      </c>
      <c r="G54" s="34"/>
      <c r="H54" s="12">
        <f t="shared" si="2"/>
        <v>0.12114088576500627</v>
      </c>
    </row>
    <row r="55" spans="2:8" x14ac:dyDescent="0.25">
      <c r="B55" s="20" t="s">
        <v>5</v>
      </c>
      <c r="C55" s="9">
        <v>2022</v>
      </c>
      <c r="D55" s="17">
        <v>865806.3</v>
      </c>
      <c r="E55" s="16">
        <f t="shared" si="0"/>
        <v>13.67141649047082</v>
      </c>
      <c r="F55" s="19">
        <v>8590204390</v>
      </c>
      <c r="G55" s="34"/>
      <c r="H55" s="12">
        <f t="shared" si="2"/>
        <v>8.4893822991635712E-2</v>
      </c>
    </row>
    <row r="56" spans="2:8" x14ac:dyDescent="0.25">
      <c r="B56" s="20" t="s">
        <v>5</v>
      </c>
      <c r="C56" s="9">
        <v>2023</v>
      </c>
      <c r="D56" s="17">
        <v>731796</v>
      </c>
      <c r="E56" s="16">
        <f t="shared" si="0"/>
        <v>13.503257065577994</v>
      </c>
      <c r="F56" s="18">
        <v>10196383053</v>
      </c>
      <c r="G56" s="34"/>
      <c r="H56" s="12">
        <f t="shared" si="2"/>
        <v>0.18697793324566053</v>
      </c>
    </row>
    <row r="57" spans="2:8" x14ac:dyDescent="0.25">
      <c r="B57" s="20"/>
      <c r="C57" s="9"/>
      <c r="D57" s="14"/>
      <c r="E57" s="16"/>
      <c r="F57" s="18"/>
      <c r="G57" s="4"/>
      <c r="H57" s="12"/>
    </row>
    <row r="58" spans="2:8" x14ac:dyDescent="0.25">
      <c r="B58" s="20" t="s">
        <v>19</v>
      </c>
      <c r="C58" s="9">
        <v>2014</v>
      </c>
      <c r="D58" s="17">
        <v>43129.73</v>
      </c>
      <c r="E58" s="16">
        <f t="shared" si="0"/>
        <v>10.671967829478543</v>
      </c>
      <c r="F58" s="18">
        <v>232498</v>
      </c>
      <c r="G58" s="4"/>
      <c r="H58" s="12" t="s">
        <v>25</v>
      </c>
    </row>
    <row r="59" spans="2:8" x14ac:dyDescent="0.25">
      <c r="B59" s="20" t="s">
        <v>19</v>
      </c>
      <c r="C59" s="9">
        <v>2015</v>
      </c>
      <c r="D59" s="17">
        <v>49111.72</v>
      </c>
      <c r="E59" s="16">
        <f t="shared" si="0"/>
        <v>10.801852981836804</v>
      </c>
      <c r="F59" s="18">
        <v>281083</v>
      </c>
      <c r="G59" s="4"/>
      <c r="H59" s="12">
        <f t="shared" si="2"/>
        <v>0.20896953952292063</v>
      </c>
    </row>
    <row r="60" spans="2:8" x14ac:dyDescent="0.25">
      <c r="B60" s="20" t="s">
        <v>19</v>
      </c>
      <c r="C60" s="9">
        <v>2016</v>
      </c>
      <c r="D60" s="17">
        <v>53971.32</v>
      </c>
      <c r="E60" s="16">
        <f t="shared" si="0"/>
        <v>10.896208073345836</v>
      </c>
      <c r="F60" s="18">
        <v>338774</v>
      </c>
      <c r="G60" s="4"/>
      <c r="H60" s="12">
        <f t="shared" si="2"/>
        <v>0.20524542572834359</v>
      </c>
    </row>
    <row r="61" spans="2:8" x14ac:dyDescent="0.25">
      <c r="B61" s="20" t="s">
        <v>19</v>
      </c>
      <c r="C61" s="9">
        <v>2017</v>
      </c>
      <c r="D61" s="17">
        <v>54252.62</v>
      </c>
      <c r="E61" s="16">
        <f t="shared" si="0"/>
        <v>10.901406565167418</v>
      </c>
      <c r="F61" s="18">
        <v>373069</v>
      </c>
      <c r="G61" s="4"/>
      <c r="H61" s="12">
        <f t="shared" si="2"/>
        <v>0.10123268019387556</v>
      </c>
    </row>
    <row r="62" spans="2:8" x14ac:dyDescent="0.25">
      <c r="B62" s="20" t="s">
        <v>19</v>
      </c>
      <c r="C62" s="9">
        <v>2018</v>
      </c>
      <c r="D62" s="17">
        <v>61007.58</v>
      </c>
      <c r="E62" s="16">
        <f t="shared" si="0"/>
        <v>11.018753397730611</v>
      </c>
      <c r="F62" s="18">
        <v>439650</v>
      </c>
      <c r="G62" s="4"/>
      <c r="H62" s="12">
        <f t="shared" si="2"/>
        <v>0.17846832623455713</v>
      </c>
    </row>
    <row r="63" spans="2:8" x14ac:dyDescent="0.25">
      <c r="B63" s="20" t="s">
        <v>19</v>
      </c>
      <c r="C63" s="9">
        <v>2019</v>
      </c>
      <c r="D63" s="17">
        <v>47941.15</v>
      </c>
      <c r="E63" s="16">
        <f t="shared" si="0"/>
        <v>10.777729496019392</v>
      </c>
      <c r="F63" s="18">
        <v>485613</v>
      </c>
      <c r="G63" s="4"/>
      <c r="H63" s="12">
        <f t="shared" si="2"/>
        <v>0.10454452405322416</v>
      </c>
    </row>
    <row r="64" spans="2:8" x14ac:dyDescent="0.25">
      <c r="B64" s="20" t="s">
        <v>19</v>
      </c>
      <c r="C64" s="9">
        <v>2020</v>
      </c>
      <c r="D64" s="17">
        <v>53673.52</v>
      </c>
      <c r="E64" s="16">
        <f t="shared" si="0"/>
        <v>10.890675049008655</v>
      </c>
      <c r="F64" s="18">
        <v>557249</v>
      </c>
      <c r="G64" s="4"/>
      <c r="H64" s="12">
        <f t="shared" si="2"/>
        <v>0.14751664391192162</v>
      </c>
    </row>
    <row r="65" spans="2:8" x14ac:dyDescent="0.25">
      <c r="B65" s="20" t="s">
        <v>19</v>
      </c>
      <c r="C65" s="9">
        <v>2021</v>
      </c>
      <c r="D65" s="17">
        <v>53097.5</v>
      </c>
      <c r="E65" s="16">
        <f t="shared" si="0"/>
        <v>10.879885125142401</v>
      </c>
      <c r="F65" s="18">
        <v>614399</v>
      </c>
      <c r="G65" s="4"/>
      <c r="H65" s="12">
        <f t="shared" si="2"/>
        <v>0.10255738458032226</v>
      </c>
    </row>
    <row r="66" spans="2:8" x14ac:dyDescent="0.25">
      <c r="B66" s="20" t="s">
        <v>19</v>
      </c>
      <c r="C66" s="9">
        <v>2022</v>
      </c>
      <c r="D66" s="17">
        <v>57961.69</v>
      </c>
      <c r="E66" s="16">
        <f t="shared" si="0"/>
        <v>10.967537554049558</v>
      </c>
      <c r="F66" s="18">
        <v>707947</v>
      </c>
      <c r="G66" s="4"/>
      <c r="H66" s="12">
        <f t="shared" si="2"/>
        <v>0.152259362401306</v>
      </c>
    </row>
    <row r="67" spans="2:8" x14ac:dyDescent="0.25">
      <c r="B67" s="20" t="s">
        <v>19</v>
      </c>
      <c r="C67" s="9">
        <v>2023</v>
      </c>
      <c r="D67" s="17">
        <v>51390.81</v>
      </c>
      <c r="E67" s="16">
        <f t="shared" si="0"/>
        <v>10.847214641683426</v>
      </c>
      <c r="F67" s="18">
        <v>845303</v>
      </c>
      <c r="G67" s="4"/>
      <c r="H67" s="12">
        <f t="shared" si="2"/>
        <v>0.19402017382657177</v>
      </c>
    </row>
  </sheetData>
  <mergeCells count="1">
    <mergeCell ref="G47:G5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3680F-93E6-4A6E-A202-5FC1D5EC32E7}">
  <dimension ref="B3:E13"/>
  <sheetViews>
    <sheetView showGridLines="0" workbookViewId="0">
      <selection activeCell="F16" sqref="F16"/>
    </sheetView>
  </sheetViews>
  <sheetFormatPr defaultRowHeight="13.8" x14ac:dyDescent="0.25"/>
  <cols>
    <col min="3" max="3" width="11.77734375" bestFit="1" customWidth="1"/>
    <col min="5" max="5" width="10.21875" bestFit="1" customWidth="1"/>
  </cols>
  <sheetData>
    <row r="3" spans="2:5" x14ac:dyDescent="0.25">
      <c r="B3" s="8" t="s">
        <v>12</v>
      </c>
      <c r="C3" s="8" t="s">
        <v>29</v>
      </c>
      <c r="D3" s="8" t="s">
        <v>30</v>
      </c>
    </row>
    <row r="4" spans="2:5" x14ac:dyDescent="0.25">
      <c r="B4" s="7">
        <v>2014</v>
      </c>
      <c r="C4" s="5">
        <v>7.3999999999999996E-2</v>
      </c>
      <c r="D4" s="5">
        <v>6.7000000000000004E-2</v>
      </c>
    </row>
    <row r="5" spans="2:5" x14ac:dyDescent="0.25">
      <c r="B5" s="7">
        <f>B4+1</f>
        <v>2015</v>
      </c>
      <c r="C5" s="5">
        <v>0.08</v>
      </c>
      <c r="D5" s="5">
        <v>4.9000000000000002E-2</v>
      </c>
    </row>
    <row r="6" spans="2:5" x14ac:dyDescent="0.25">
      <c r="B6" s="7">
        <f t="shared" ref="B6:B13" si="0">B5+1</f>
        <v>2016</v>
      </c>
      <c r="C6" s="5">
        <v>8.3000000000000004E-2</v>
      </c>
      <c r="D6" s="5">
        <v>4.9000000000000002E-2</v>
      </c>
    </row>
    <row r="7" spans="2:5" x14ac:dyDescent="0.25">
      <c r="B7" s="7">
        <f t="shared" si="0"/>
        <v>2017</v>
      </c>
      <c r="C7" s="5">
        <v>6.8000000000000005E-2</v>
      </c>
      <c r="D7" s="5">
        <v>3.3000000000000002E-2</v>
      </c>
    </row>
    <row r="8" spans="2:5" x14ac:dyDescent="0.25">
      <c r="B8" s="7">
        <f t="shared" si="0"/>
        <v>2018</v>
      </c>
      <c r="C8" s="5">
        <v>6.5000000000000002E-2</v>
      </c>
      <c r="D8" s="5">
        <v>3.9E-2</v>
      </c>
    </row>
    <row r="9" spans="2:5" x14ac:dyDescent="0.25">
      <c r="B9" s="7">
        <f t="shared" si="0"/>
        <v>2019</v>
      </c>
      <c r="C9" s="5">
        <v>3.9E-2</v>
      </c>
      <c r="D9" s="5">
        <v>3.6999999999999998E-2</v>
      </c>
    </row>
    <row r="10" spans="2:5" x14ac:dyDescent="0.25">
      <c r="B10" s="7">
        <f t="shared" si="0"/>
        <v>2020</v>
      </c>
      <c r="C10" s="5">
        <v>-5.8000000000000003E-2</v>
      </c>
      <c r="D10" s="5">
        <v>6.6000000000000003E-2</v>
      </c>
    </row>
    <row r="11" spans="2:5" x14ac:dyDescent="0.25">
      <c r="B11" s="7">
        <f t="shared" si="0"/>
        <v>2021</v>
      </c>
      <c r="C11" s="5">
        <v>9.7000000000000003E-2</v>
      </c>
      <c r="D11" s="5">
        <v>5.0999999999999997E-2</v>
      </c>
    </row>
    <row r="12" spans="2:5" x14ac:dyDescent="0.25">
      <c r="B12" s="7">
        <f t="shared" si="0"/>
        <v>2022</v>
      </c>
      <c r="C12" s="5">
        <v>7.5999999999999998E-2</v>
      </c>
      <c r="D12" s="5">
        <v>6.7000000000000004E-2</v>
      </c>
    </row>
    <row r="13" spans="2:5" x14ac:dyDescent="0.25">
      <c r="B13" s="7">
        <f t="shared" si="0"/>
        <v>2023</v>
      </c>
      <c r="C13" s="5">
        <v>9.1999999999999998E-2</v>
      </c>
      <c r="D13" s="5">
        <v>5.6000000000000001E-2</v>
      </c>
      <c r="E13" s="35" t="str">
        <f>HYPERLINK("https://data.worldbank.org/indicator/FP.CPI.TOTL.ZG?locations=IN","WorldBank")</f>
        <v>WorldBank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Genereal Info</vt:lpstr>
      <vt:lpstr>Data</vt:lpstr>
      <vt:lpstr>Calculations</vt:lpstr>
      <vt:lpstr>GDP &amp; Inflation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Walekar</dc:creator>
  <cp:lastModifiedBy>Atharva Walekar</cp:lastModifiedBy>
  <dcterms:created xsi:type="dcterms:W3CDTF">2026-03-05T12:50:14Z</dcterms:created>
  <dcterms:modified xsi:type="dcterms:W3CDTF">2026-03-10T08:13:37Z</dcterms:modified>
</cp:coreProperties>
</file>