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pivotCache/pivotCacheDefinition5.xml" ContentType="application/vnd.openxmlformats-officedocument.spreadsheetml.pivotCacheDefinition+xml"/>
  <Override PartName="/xl/pivotCache/pivotCacheRecords5.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4.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7.xml" ContentType="application/vnd.openxmlformats-officedocument.spreadsheetml.pivotTable+xml"/>
  <Override PartName="/xl/drawings/drawing5.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8.xml" ContentType="application/vnd.openxmlformats-officedocument.spreadsheetml.pivotTable+xml"/>
  <Override PartName="/xl/drawings/drawing6.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7.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hidePivotFieldList="1" defaultThemeVersion="166925"/>
  <mc:AlternateContent xmlns:mc="http://schemas.openxmlformats.org/markup-compatibility/2006">
    <mc:Choice Requires="x15">
      <x15ac:absPath xmlns:x15ac="http://schemas.microsoft.com/office/spreadsheetml/2010/11/ac" url="C:\Users\Atharva\Desktop\"/>
    </mc:Choice>
  </mc:AlternateContent>
  <xr:revisionPtr revIDLastSave="0" documentId="13_ncr:1_{082F8B7F-5D2E-4A25-811C-F1CD1DB6479F}" xr6:coauthVersionLast="47" xr6:coauthVersionMax="47" xr10:uidLastSave="{00000000-0000-0000-0000-000000000000}"/>
  <bookViews>
    <workbookView xWindow="-108" yWindow="-108" windowWidth="23256" windowHeight="12456" xr2:uid="{153F36B6-FF9A-41C5-A0FC-5C456823E27A}"/>
  </bookViews>
  <sheets>
    <sheet name="Snippet" sheetId="25" r:id="rId1"/>
    <sheet name="Growth Trends" sheetId="2" r:id="rId2"/>
    <sheet name="Profitability" sheetId="9" r:id="rId3"/>
    <sheet name="Market Position" sheetId="11" r:id="rId4"/>
    <sheet name="Financial Health" sheetId="4" r:id="rId5"/>
    <sheet name="Liquidity" sheetId="8" r:id="rId6"/>
    <sheet name="Pivot Tables&gt;" sheetId="16" r:id="rId7"/>
    <sheet name="Profitability Trend Pivot" sheetId="17" r:id="rId8"/>
    <sheet name="Financial Health Pivot" sheetId="18" r:id="rId9"/>
    <sheet name="Growth Trend Pivot" sheetId="15" r:id="rId10"/>
    <sheet name="Market Position Pivot" sheetId="19" r:id="rId11"/>
    <sheet name="Liquidity Pivot Table" sheetId="20" r:id="rId12"/>
    <sheet name="IMP Charts" sheetId="24" r:id="rId13"/>
    <sheet name="Company Snapshot" sheetId="14" r:id="rId14"/>
    <sheet name="Conclusion" sheetId="23" r:id="rId15"/>
  </sheets>
  <calcPr calcId="191029"/>
  <pivotCaches>
    <pivotCache cacheId="0" r:id="rId16"/>
    <pivotCache cacheId="1" r:id="rId17"/>
    <pivotCache cacheId="6" r:id="rId18"/>
    <pivotCache cacheId="11" r:id="rId19"/>
    <pivotCache cacheId="16" r:id="rId20"/>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F17" i="14" l="1"/>
  <c r="F16" i="14"/>
  <c r="F15" i="14"/>
  <c r="F14" i="14"/>
  <c r="F13" i="14"/>
  <c r="F12" i="14"/>
  <c r="E17" i="14"/>
  <c r="E16" i="14"/>
  <c r="E15" i="14"/>
  <c r="E14" i="14"/>
  <c r="E13" i="14"/>
  <c r="E12" i="14"/>
  <c r="D17" i="14"/>
  <c r="D16" i="14"/>
  <c r="D15" i="14"/>
  <c r="D14" i="14"/>
  <c r="D13" i="14"/>
  <c r="D12" i="14"/>
  <c r="C17" i="14"/>
  <c r="C16" i="14"/>
  <c r="C15" i="14"/>
  <c r="C14" i="14"/>
  <c r="C13" i="14"/>
  <c r="C12" i="14"/>
  <c r="C18" i="14"/>
  <c r="D18" i="14"/>
  <c r="E18" i="14"/>
  <c r="F18" i="14"/>
  <c r="F19" i="14"/>
  <c r="E19" i="14"/>
  <c r="B18" i="14"/>
  <c r="B19" i="14"/>
  <c r="D19" i="14"/>
  <c r="C19" i="14"/>
  <c r="B17" i="14"/>
  <c r="B16" i="14"/>
  <c r="B15" i="14"/>
  <c r="B14" i="14"/>
  <c r="B13" i="14"/>
  <c r="B12" i="14"/>
  <c r="F11" i="14"/>
  <c r="E11" i="14"/>
  <c r="D11" i="14"/>
  <c r="C11" i="14"/>
  <c r="B11" i="14"/>
  <c r="F10" i="14"/>
  <c r="F9" i="14"/>
  <c r="E10" i="14"/>
  <c r="E9" i="14"/>
  <c r="D10" i="14"/>
  <c r="D9" i="14"/>
  <c r="C9" i="14"/>
  <c r="C10" i="14"/>
  <c r="B10" i="14"/>
  <c r="B9" i="14"/>
  <c r="F8" i="14"/>
  <c r="E8" i="14"/>
  <c r="D8" i="14"/>
  <c r="C8" i="14"/>
  <c r="B8" i="14"/>
  <c r="F7" i="14"/>
  <c r="F6" i="14"/>
  <c r="E7" i="14"/>
  <c r="E6" i="14"/>
  <c r="D7" i="14"/>
  <c r="D6" i="14"/>
  <c r="C7" i="14"/>
  <c r="C6" i="14"/>
  <c r="B7" i="14"/>
  <c r="B6" i="14"/>
</calcChain>
</file>

<file path=xl/sharedStrings.xml><?xml version="1.0" encoding="utf-8"?>
<sst xmlns="http://schemas.openxmlformats.org/spreadsheetml/2006/main" count="386" uniqueCount="100">
  <si>
    <t>HCL Tech</t>
  </si>
  <si>
    <t>Infosys</t>
  </si>
  <si>
    <t>TCS</t>
  </si>
  <si>
    <t>Tech Mahindra</t>
  </si>
  <si>
    <t>Wipro</t>
  </si>
  <si>
    <t>-</t>
  </si>
  <si>
    <t>Growth Trend Analysis</t>
  </si>
  <si>
    <t>Year-on-Year Revenue, Profit, &amp; Operating Profit Growth(FY2019-24)</t>
  </si>
  <si>
    <t>Company</t>
  </si>
  <si>
    <t>Year</t>
  </si>
  <si>
    <t>Net Profit (Rs. Cr)</t>
  </si>
  <si>
    <t>Previous year Profit (Rs. Cr0</t>
  </si>
  <si>
    <t>Operating Profit (Rs. Cr)</t>
  </si>
  <si>
    <t>Sales (Rs. Cr0</t>
  </si>
  <si>
    <t>Pre. Year Sales(Rs. Cr)</t>
  </si>
  <si>
    <t>Profit Growth (%)</t>
  </si>
  <si>
    <t>Revenue Growth (%)</t>
  </si>
  <si>
    <t>Operating Profit Growth (%)</t>
  </si>
  <si>
    <t>Profitability Analysis</t>
  </si>
  <si>
    <t>Year-on-year Net Profit Margin %, and Operating Profit Margin % (FY2019-24)</t>
  </si>
  <si>
    <t>Sales (Rs. Cr)</t>
  </si>
  <si>
    <t>Net Profit Margin (%)</t>
  </si>
  <si>
    <t>Operating Profit Margin (%)</t>
  </si>
  <si>
    <t>Financial Health Analysis</t>
  </si>
  <si>
    <t>Debt-to-Equity, ROE%, ROA%, Asset Turnover</t>
  </si>
  <si>
    <t>Shareholder Equity</t>
  </si>
  <si>
    <t>Total Assets (Rs. Cr)</t>
  </si>
  <si>
    <t>Debt-to-Equity</t>
  </si>
  <si>
    <t>ROE %</t>
  </si>
  <si>
    <t>ROA %</t>
  </si>
  <si>
    <t>Asset Turnover</t>
  </si>
  <si>
    <t>Borrowings (Rs. Cr)</t>
  </si>
  <si>
    <t>Market Position Analysis</t>
  </si>
  <si>
    <t>Revenue Market Share among Top 5 IT Companies (FY2019-24)</t>
  </si>
  <si>
    <t>Sales</t>
  </si>
  <si>
    <t>Revenue Market Share (%)</t>
  </si>
  <si>
    <t>Liquidity Analysis</t>
  </si>
  <si>
    <t>Cash Ratio &amp; Receivables-to-Revenue% (FY2016-24)</t>
  </si>
  <si>
    <t>Cash &amp; Bank</t>
  </si>
  <si>
    <t>Total Liabilities (Rs. Cr)</t>
  </si>
  <si>
    <t>Receivables (Rs. Cr)</t>
  </si>
  <si>
    <t>Cash Ratio</t>
  </si>
  <si>
    <t>Receivables-to-Revenue(%)</t>
  </si>
  <si>
    <t>Metric</t>
  </si>
  <si>
    <t xml:space="preserve">Best </t>
  </si>
  <si>
    <t>Worst</t>
  </si>
  <si>
    <t>Net ProfitFY 2024 (Rs. Cr)</t>
  </si>
  <si>
    <t>Revenue FY 2019 (Rs. Cr)</t>
  </si>
  <si>
    <t>Revenue FY 2024 (Rs. Cr)</t>
  </si>
  <si>
    <t>Net Margin % FY 2024</t>
  </si>
  <si>
    <t>Net Margin % FY 2019</t>
  </si>
  <si>
    <t>Operating Profit Margin % FY 2024</t>
  </si>
  <si>
    <t>ROE % FY2024</t>
  </si>
  <si>
    <t>ROA % FY2024</t>
  </si>
  <si>
    <t>Debt/Equity FY 2024</t>
  </si>
  <si>
    <t>Asset Turnover FY 2024</t>
  </si>
  <si>
    <t>Market Share % FY 2024</t>
  </si>
  <si>
    <t>Market Share % FY 2019</t>
  </si>
  <si>
    <t>Receivables to Revenue % FY2024</t>
  </si>
  <si>
    <t>Cash Ratio FY2024</t>
  </si>
  <si>
    <t>Column Labels</t>
  </si>
  <si>
    <t>Grand Total</t>
  </si>
  <si>
    <t>Row Labels</t>
  </si>
  <si>
    <t>Average of Operating Profit Growth (%)</t>
  </si>
  <si>
    <t>Average of Revenue Growth (%)</t>
  </si>
  <si>
    <t>Average of Net Profit Margin (%)</t>
  </si>
  <si>
    <t>Sum of Operating Profit (Rs. Cr)</t>
  </si>
  <si>
    <t>Average of ROE %</t>
  </si>
  <si>
    <t>Sum of Debt-to-Equity</t>
  </si>
  <si>
    <t>Average of Revenue Market Share (%)</t>
  </si>
  <si>
    <t>Sum of Cash Ratio</t>
  </si>
  <si>
    <t>Company Snapshot</t>
  </si>
  <si>
    <t>Key financial metrics summary for Each Company - FY2019-24</t>
  </si>
  <si>
    <t>A comparative financial analysis of India's Top 5 IT companies (TCS, Infosys, HCL Tech, Wipro, Tech Mahindra) over FY2019-2024, examining revenue and profit growth trends, financial health indicators, and competitive positioning to identify which firms demonstrated the strongest and most consistent performance.</t>
  </si>
  <si>
    <t>TCS has led the every single metric consistently over 5 years; highest markrt share (36-38%), net margin(~20%), ROE (35-50%), ROA(above 27%), and operating margin (27-28%). It has the clear benchmark of Indian IT.</t>
  </si>
  <si>
    <t>1. TCS's Dominance is Unmatched</t>
  </si>
  <si>
    <t>2. 2022 was a Universal Boom Year</t>
  </si>
  <si>
    <t>Every company posted double-digit profit growth in FY2022, singnaling a strong post-COVID recovery wave across the Indian IT sector driven by accelarated digital transformation spending globally.</t>
  </si>
  <si>
    <t>3. HCL Tech is the Dark Horse</t>
  </si>
  <si>
    <t xml:space="preserve">HCL recorded the highest revenue growth among all five companies in FY2024(8.34%) while others slowed or declined. Its ROA has grown consistently from 17% to 15-16%, making it the strongest growth challenger. </t>
  </si>
  <si>
    <t>4. Tech Mahindra is in Serious Trouble</t>
  </si>
  <si>
    <t>Tech Mahindra showed the alarming deterioration; net margin crashed to just 4.53% in FY2024, profit declined by 51.2%, and revenue growth was negative 2.43%. It is the only company with negative revenue growth in FY2024.</t>
  </si>
  <si>
    <t>5. Indian IT is Virtually Debt-Free</t>
  </si>
  <si>
    <t>All five companies maintain near-zero debt-to-equity ratios, which demonstrates exceptional financial discipline. Wipro is a slight exception at 0.22, but still well within safe limits for any industry.</t>
  </si>
  <si>
    <t>FINAL VERDICT</t>
  </si>
  <si>
    <t>Among India's Top 5 IT companies over FY2019-2024, TCS maintained undisputed leadership across all financial metrics. HCL emerged as the strongest growth challenger in FY2024, while Tech Mahindra showed alarming deterioration in profitability. The sector demonstrated remarkable financial discipline with near-zero debt levels, and FY2022 marked a universal post-COVID earnings peak across all players.</t>
  </si>
  <si>
    <t>Study Coclusion and Key Findings</t>
  </si>
  <si>
    <t>Comparative financial analysis of India's Top 5 IT Companies | FY2019 to Fy 2024 |Data source: Screener.in</t>
  </si>
  <si>
    <t>Study Statement:</t>
  </si>
  <si>
    <t>Some Imp Charts</t>
  </si>
  <si>
    <t>Growth Trends</t>
  </si>
  <si>
    <t>Profitability</t>
  </si>
  <si>
    <t>Financial Health</t>
  </si>
  <si>
    <t>Liquidity and Market Share</t>
  </si>
  <si>
    <t xml:space="preserve">Financial Analysis of Top 5 IT companies in India using SQL and EXCEL | FY2019 to FY2024 </t>
  </si>
  <si>
    <t>Market Position</t>
  </si>
  <si>
    <t>Liquidity</t>
  </si>
  <si>
    <t>IMT Charts</t>
  </si>
  <si>
    <t>Conclusion</t>
  </si>
  <si>
    <t>Click To Navigate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</si>
</sst>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3" formatCode="_ * #,##0.00_ ;_ * \-#,##0.00_ ;_ * &quot;-&quot;??_ ;_ @_ "/>
  </numFmts>
  <fonts count="16" x14ac:knownFonts="1">
    <font>
      <sz val="11"/>
      <color theme="1"/>
      <name val="Times New Roman"/>
      <family val="2"/>
    </font>
    <font>
      <b/>
      <sz val="11.5"/>
      <color theme="1"/>
      <name val="Times New Roman"/>
      <family val="1"/>
    </font>
    <font>
      <sz val="11"/>
      <color theme="1"/>
      <name val="Times New Roman"/>
      <family val="2"/>
    </font>
    <font>
      <b/>
      <sz val="22"/>
      <color theme="0"/>
      <name val="Times New Roman"/>
      <family val="1"/>
    </font>
    <font>
      <b/>
      <i/>
      <sz val="14"/>
      <color theme="0"/>
      <name val="Times New Roman"/>
      <family val="1"/>
    </font>
    <font>
      <i/>
      <sz val="11"/>
      <color theme="1"/>
      <name val="Times New Roman"/>
      <family val="1"/>
    </font>
    <font>
      <b/>
      <i/>
      <sz val="12"/>
      <color theme="0"/>
      <name val="Times New Roman"/>
      <family val="1"/>
    </font>
    <font>
      <sz val="11"/>
      <color theme="9" tint="-0.249977111117893"/>
      <name val="Times New Roman"/>
      <family val="2"/>
    </font>
    <font>
      <sz val="11"/>
      <color rgb="FFC00000"/>
      <name val="Times New Roman"/>
      <family val="2"/>
    </font>
    <font>
      <b/>
      <sz val="11"/>
      <color theme="1"/>
      <name val="Times New Roman"/>
      <family val="1"/>
    </font>
    <font>
      <b/>
      <sz val="12"/>
      <color theme="1"/>
      <name val="Times New Roman"/>
      <family val="1"/>
    </font>
    <font>
      <b/>
      <sz val="11"/>
      <color theme="4" tint="-0.499984740745262"/>
      <name val="Times New Roman"/>
      <family val="1"/>
    </font>
    <font>
      <b/>
      <i/>
      <sz val="10"/>
      <color theme="0"/>
      <name val="Times New Roman"/>
      <family val="1"/>
    </font>
    <font>
      <sz val="14"/>
      <color theme="4" tint="-0.499984740745262"/>
      <name val="Times New Roman"/>
      <family val="2"/>
    </font>
    <font>
      <b/>
      <sz val="48"/>
      <color theme="0"/>
      <name val="Times New Roman"/>
      <family val="1"/>
    </font>
    <font>
      <b/>
      <i/>
      <sz val="22"/>
      <color theme="0"/>
      <name val="Times New Roman"/>
      <family val="1"/>
    </font>
  </fonts>
  <fills count="10">
    <fill>
      <patternFill patternType="none"/>
    </fill>
    <fill>
      <patternFill patternType="gray125"/>
    </fill>
    <fill>
      <patternFill patternType="solid">
        <fgColor theme="0"/>
        <bgColor indexed="64"/>
      </patternFill>
    </fill>
    <fill>
      <patternFill patternType="solid">
        <fgColor theme="4"/>
        <bgColor indexed="64"/>
      </patternFill>
    </fill>
    <fill>
      <patternFill patternType="solid">
        <fgColor rgb="FF99CCFF"/>
        <bgColor indexed="64"/>
      </patternFill>
    </fill>
    <fill>
      <patternFill patternType="solid">
        <fgColor rgb="FFFF3300"/>
        <bgColor indexed="64"/>
      </patternFill>
    </fill>
    <fill>
      <patternFill patternType="solid">
        <fgColor theme="9" tint="0.59999389629810485"/>
        <bgColor indexed="64"/>
      </patternFill>
    </fill>
    <fill>
      <patternFill patternType="solid">
        <fgColor theme="4" tint="0.79998168889431442"/>
        <bgColor indexed="64"/>
      </patternFill>
    </fill>
    <fill>
      <patternFill patternType="solid">
        <fgColor theme="4" tint="0.59999389629810485"/>
        <bgColor indexed="64"/>
      </patternFill>
    </fill>
    <fill>
      <patternFill patternType="solid">
        <fgColor rgb="FFCCFFFF"/>
        <bgColor indexed="64"/>
      </patternFill>
    </fill>
  </fills>
  <borders count="36">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thin">
        <color indexed="64"/>
      </right>
      <top style="medium">
        <color indexed="64"/>
      </top>
      <bottom style="thin">
        <color indexed="64"/>
      </bottom>
      <diagonal/>
    </border>
    <border>
      <left style="thin">
        <color indexed="64"/>
      </left>
      <right style="thin">
        <color indexed="64"/>
      </right>
      <top style="thin">
        <color indexed="64"/>
      </top>
      <bottom/>
      <diagonal/>
    </border>
    <border>
      <left/>
      <right style="thin">
        <color indexed="64"/>
      </right>
      <top style="thin">
        <color indexed="64"/>
      </top>
      <bottom style="medium">
        <color indexed="64"/>
      </bottom>
      <diagonal/>
    </border>
    <border>
      <left/>
      <right style="thin">
        <color indexed="64"/>
      </right>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medium">
        <color indexed="64"/>
      </bottom>
      <diagonal/>
    </border>
    <border>
      <left style="thin">
        <color indexed="64"/>
      </left>
      <right/>
      <top/>
      <bottom style="thin">
        <color indexed="64"/>
      </bottom>
      <diagonal/>
    </border>
    <border>
      <left style="thin">
        <color indexed="64"/>
      </left>
      <right/>
      <top style="thin">
        <color indexed="64"/>
      </top>
      <bottom style="thin">
        <color indexed="64"/>
      </bottom>
      <diagonal/>
    </border>
    <border>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top/>
      <bottom style="medium">
        <color indexed="64"/>
      </bottom>
      <diagonal/>
    </border>
    <border>
      <left/>
      <right style="thin">
        <color indexed="64"/>
      </right>
      <top style="thin">
        <color indexed="64"/>
      </top>
      <bottom/>
      <diagonal/>
    </border>
    <border>
      <left style="thin">
        <color indexed="64"/>
      </left>
      <right/>
      <top style="thin">
        <color indexed="64"/>
      </top>
      <bottom/>
      <diagonal/>
    </border>
    <border>
      <left style="thin">
        <color indexed="64"/>
      </left>
      <right/>
      <top/>
      <bottom/>
      <diagonal/>
    </border>
    <border>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style="hair">
        <color auto="1"/>
      </left>
      <right/>
      <top style="hair">
        <color auto="1"/>
      </top>
      <bottom/>
      <diagonal/>
    </border>
    <border>
      <left/>
      <right/>
      <top style="hair">
        <color auto="1"/>
      </top>
      <bottom/>
      <diagonal/>
    </border>
    <border>
      <left/>
      <right style="hair">
        <color auto="1"/>
      </right>
      <top style="hair">
        <color auto="1"/>
      </top>
      <bottom/>
      <diagonal/>
    </border>
    <border>
      <left style="hair">
        <color auto="1"/>
      </left>
      <right/>
      <top/>
      <bottom/>
      <diagonal/>
    </border>
    <border>
      <left/>
      <right style="hair">
        <color auto="1"/>
      </right>
      <top/>
      <bottom/>
      <diagonal/>
    </border>
    <border>
      <left style="hair">
        <color auto="1"/>
      </left>
      <right/>
      <top/>
      <bottom style="hair">
        <color auto="1"/>
      </bottom>
      <diagonal/>
    </border>
    <border>
      <left/>
      <right/>
      <top/>
      <bottom style="hair">
        <color auto="1"/>
      </bottom>
      <diagonal/>
    </border>
    <border>
      <left/>
      <right style="hair">
        <color auto="1"/>
      </right>
      <top/>
      <bottom style="hair">
        <color auto="1"/>
      </bottom>
      <diagonal/>
    </border>
    <border>
      <left/>
      <right/>
      <top style="double">
        <color auto="1"/>
      </top>
      <bottom/>
      <diagonal/>
    </border>
    <border>
      <left style="double">
        <color auto="1"/>
      </left>
      <right/>
      <top style="double">
        <color auto="1"/>
      </top>
      <bottom/>
      <diagonal/>
    </border>
    <border>
      <left/>
      <right style="double">
        <color auto="1"/>
      </right>
      <top style="double">
        <color auto="1"/>
      </top>
      <bottom/>
      <diagonal/>
    </border>
    <border>
      <left style="double">
        <color auto="1"/>
      </left>
      <right/>
      <top/>
      <bottom/>
      <diagonal/>
    </border>
    <border>
      <left/>
      <right style="double">
        <color auto="1"/>
      </right>
      <top/>
      <bottom/>
      <diagonal/>
    </border>
    <border>
      <left style="double">
        <color auto="1"/>
      </left>
      <right/>
      <top/>
      <bottom style="double">
        <color auto="1"/>
      </bottom>
      <diagonal/>
    </border>
    <border>
      <left/>
      <right/>
      <top/>
      <bottom style="double">
        <color auto="1"/>
      </bottom>
      <diagonal/>
    </border>
    <border>
      <left/>
      <right style="double">
        <color auto="1"/>
      </right>
      <top/>
      <bottom style="double">
        <color auto="1"/>
      </bottom>
      <diagonal/>
    </border>
  </borders>
  <cellStyleXfs count="2">
    <xf numFmtId="0" fontId="0" fillId="0" borderId="0"/>
    <xf numFmtId="43" fontId="2" fillId="0" borderId="0" applyFont="0" applyFill="0" applyBorder="0" applyAlignment="0" applyProtection="0"/>
  </cellStyleXfs>
  <cellXfs count="84">
    <xf numFmtId="0" fontId="0" fillId="0" borderId="0" xfId="0"/>
    <xf numFmtId="0" fontId="0" fillId="0" borderId="1" xfId="0" applyBorder="1" applyAlignment="1">
      <alignment horizontal="center"/>
    </xf>
    <xf numFmtId="0" fontId="0" fillId="0" borderId="2" xfId="0" applyBorder="1" applyAlignment="1">
      <alignment horizontal="center"/>
    </xf>
    <xf numFmtId="0" fontId="0" fillId="0" borderId="0" xfId="0" applyAlignment="1">
      <alignment horizontal="center"/>
    </xf>
    <xf numFmtId="0" fontId="0" fillId="0" borderId="1" xfId="0" applyBorder="1" applyAlignment="1">
      <alignment horizontal="left"/>
    </xf>
    <xf numFmtId="0" fontId="0" fillId="0" borderId="2" xfId="0" applyBorder="1" applyAlignment="1">
      <alignment horizontal="left"/>
    </xf>
    <xf numFmtId="2" fontId="0" fillId="0" borderId="2" xfId="0" applyNumberFormat="1" applyBorder="1" applyAlignment="1">
      <alignment horizontal="center"/>
    </xf>
    <xf numFmtId="2" fontId="0" fillId="0" borderId="1" xfId="0" applyNumberFormat="1" applyBorder="1" applyAlignment="1">
      <alignment horizontal="center"/>
    </xf>
    <xf numFmtId="0" fontId="0" fillId="0" borderId="3" xfId="0" applyBorder="1" applyAlignment="1">
      <alignment horizontal="left"/>
    </xf>
    <xf numFmtId="2" fontId="0" fillId="0" borderId="3" xfId="0" applyNumberFormat="1" applyBorder="1" applyAlignment="1">
      <alignment horizontal="center"/>
    </xf>
    <xf numFmtId="0" fontId="0" fillId="0" borderId="3" xfId="0" applyBorder="1" applyAlignment="1">
      <alignment horizontal="center"/>
    </xf>
    <xf numFmtId="0" fontId="0" fillId="2" borderId="2" xfId="0" applyFill="1" applyBorder="1" applyAlignment="1">
      <alignment horizontal="center"/>
    </xf>
    <xf numFmtId="0" fontId="0" fillId="2" borderId="1" xfId="0" applyFill="1" applyBorder="1" applyAlignment="1">
      <alignment horizontal="center"/>
    </xf>
    <xf numFmtId="0" fontId="0" fillId="2" borderId="3" xfId="0" applyFill="1" applyBorder="1" applyAlignment="1">
      <alignment horizontal="center"/>
    </xf>
    <xf numFmtId="0" fontId="0" fillId="0" borderId="5" xfId="0" applyBorder="1" applyAlignment="1">
      <alignment horizontal="left"/>
    </xf>
    <xf numFmtId="2" fontId="0" fillId="0" borderId="5" xfId="0" applyNumberFormat="1" applyBorder="1" applyAlignment="1">
      <alignment horizontal="center"/>
    </xf>
    <xf numFmtId="0" fontId="0" fillId="0" borderId="5" xfId="0" applyBorder="1" applyAlignment="1">
      <alignment horizontal="center"/>
    </xf>
    <xf numFmtId="0" fontId="0" fillId="0" borderId="4" xfId="0" applyBorder="1" applyAlignment="1">
      <alignment horizontal="left"/>
    </xf>
    <xf numFmtId="2" fontId="0" fillId="0" borderId="4" xfId="0" applyNumberFormat="1" applyBorder="1" applyAlignment="1">
      <alignment horizontal="center"/>
    </xf>
    <xf numFmtId="0" fontId="0" fillId="0" borderId="4" xfId="0" applyBorder="1" applyAlignment="1">
      <alignment horizontal="center"/>
    </xf>
    <xf numFmtId="0" fontId="0" fillId="0" borderId="7" xfId="0" applyBorder="1"/>
    <xf numFmtId="0" fontId="0" fillId="0" borderId="8" xfId="0" applyBorder="1"/>
    <xf numFmtId="0" fontId="0" fillId="0" borderId="6" xfId="0" applyBorder="1"/>
    <xf numFmtId="0" fontId="0" fillId="0" borderId="10" xfId="0" applyBorder="1" applyAlignment="1">
      <alignment horizontal="center"/>
    </xf>
    <xf numFmtId="0" fontId="0" fillId="0" borderId="11" xfId="0" applyBorder="1" applyAlignment="1">
      <alignment horizontal="center"/>
    </xf>
    <xf numFmtId="0" fontId="0" fillId="0" borderId="9" xfId="0" applyBorder="1" applyAlignment="1">
      <alignment horizontal="center"/>
    </xf>
    <xf numFmtId="0" fontId="1" fillId="0" borderId="12" xfId="0" applyFont="1" applyBorder="1" applyAlignment="1">
      <alignment horizontal="center" wrapText="1"/>
    </xf>
    <xf numFmtId="0" fontId="1" fillId="0" borderId="13" xfId="0" applyFont="1" applyBorder="1" applyAlignment="1">
      <alignment horizontal="center" wrapText="1"/>
    </xf>
    <xf numFmtId="0" fontId="1" fillId="0" borderId="14" xfId="0" applyFont="1" applyBorder="1" applyAlignment="1">
      <alignment horizontal="center" wrapText="1"/>
    </xf>
    <xf numFmtId="0" fontId="0" fillId="0" borderId="15" xfId="0" applyBorder="1"/>
    <xf numFmtId="0" fontId="0" fillId="0" borderId="16" xfId="0" applyBorder="1" applyAlignment="1">
      <alignment horizontal="center"/>
    </xf>
    <xf numFmtId="0" fontId="1" fillId="0" borderId="12" xfId="0" applyFont="1" applyBorder="1" applyAlignment="1">
      <alignment horizontal="center" vertical="center" wrapText="1"/>
    </xf>
    <xf numFmtId="0" fontId="1" fillId="0" borderId="13" xfId="0" applyFont="1" applyBorder="1" applyAlignment="1">
      <alignment horizontal="center" vertical="center" wrapText="1"/>
    </xf>
    <xf numFmtId="0" fontId="1" fillId="0" borderId="14" xfId="0" applyFont="1" applyBorder="1" applyAlignment="1">
      <alignment horizontal="center" vertical="center" wrapText="1"/>
    </xf>
    <xf numFmtId="0" fontId="0" fillId="0" borderId="18" xfId="0" applyBorder="1"/>
    <xf numFmtId="0" fontId="0" fillId="0" borderId="19" xfId="0" applyBorder="1" applyAlignment="1">
      <alignment horizontal="center"/>
    </xf>
    <xf numFmtId="0" fontId="1" fillId="0" borderId="17" xfId="0" applyFont="1" applyBorder="1" applyAlignment="1">
      <alignment horizontal="center" vertical="center" wrapText="1"/>
    </xf>
    <xf numFmtId="0" fontId="0" fillId="0" borderId="0" xfId="0" pivotButton="1"/>
    <xf numFmtId="0" fontId="0" fillId="0" borderId="0" xfId="0" applyAlignment="1">
      <alignment horizontal="left"/>
    </xf>
    <xf numFmtId="2" fontId="0" fillId="0" borderId="0" xfId="0" applyNumberFormat="1"/>
    <xf numFmtId="43" fontId="3" fillId="3" borderId="0" xfId="1" applyFont="1" applyFill="1" applyAlignment="1">
      <alignment horizontal="center" vertical="center"/>
    </xf>
    <xf numFmtId="43" fontId="0" fillId="3" borderId="0" xfId="1" applyFont="1" applyFill="1" applyAlignment="1">
      <alignment horizontal="center" vertical="center"/>
    </xf>
    <xf numFmtId="0" fontId="4" fillId="4" borderId="0" xfId="0" applyFont="1" applyFill="1" applyAlignment="1">
      <alignment horizontal="center" vertical="center"/>
    </xf>
    <xf numFmtId="0" fontId="5" fillId="4" borderId="0" xfId="0" applyFont="1" applyFill="1" applyAlignment="1">
      <alignment horizontal="center" vertical="center"/>
    </xf>
    <xf numFmtId="0" fontId="6" fillId="4" borderId="0" xfId="0" applyFont="1" applyFill="1" applyAlignment="1">
      <alignment horizontal="center" vertical="center"/>
    </xf>
    <xf numFmtId="0" fontId="0" fillId="0" borderId="0" xfId="0" applyBorder="1"/>
    <xf numFmtId="0" fontId="0" fillId="0" borderId="0" xfId="0" applyNumberFormat="1"/>
    <xf numFmtId="0" fontId="9" fillId="0" borderId="1" xfId="0" applyFont="1" applyBorder="1" applyAlignment="1">
      <alignment horizontal="center"/>
    </xf>
    <xf numFmtId="0" fontId="0" fillId="0" borderId="1" xfId="0" applyBorder="1"/>
    <xf numFmtId="2" fontId="7" fillId="6" borderId="1" xfId="0" applyNumberFormat="1" applyFont="1" applyFill="1" applyBorder="1" applyAlignment="1">
      <alignment horizontal="center"/>
    </xf>
    <xf numFmtId="2" fontId="8" fillId="5" borderId="1" xfId="0" applyNumberFormat="1" applyFont="1" applyFill="1" applyBorder="1" applyAlignment="1">
      <alignment horizontal="center"/>
    </xf>
    <xf numFmtId="0" fontId="7" fillId="6" borderId="1" xfId="0" applyFont="1" applyFill="1" applyBorder="1" applyAlignment="1">
      <alignment horizontal="center"/>
    </xf>
    <xf numFmtId="0" fontId="8" fillId="5" borderId="1" xfId="0" applyFont="1" applyFill="1" applyBorder="1" applyAlignment="1">
      <alignment horizontal="center"/>
    </xf>
    <xf numFmtId="0" fontId="5" fillId="7" borderId="0" xfId="0" applyFont="1" applyFill="1" applyBorder="1" applyAlignment="1">
      <alignment horizontal="left" vertical="center" wrapText="1"/>
    </xf>
    <xf numFmtId="0" fontId="5" fillId="7" borderId="20" xfId="0" applyFont="1" applyFill="1" applyBorder="1" applyAlignment="1">
      <alignment horizontal="left" vertical="center" wrapText="1"/>
    </xf>
    <xf numFmtId="0" fontId="5" fillId="7" borderId="21" xfId="0" applyFont="1" applyFill="1" applyBorder="1" applyAlignment="1">
      <alignment horizontal="left" vertical="center" wrapText="1"/>
    </xf>
    <xf numFmtId="0" fontId="5" fillId="7" borderId="22" xfId="0" applyFont="1" applyFill="1" applyBorder="1" applyAlignment="1">
      <alignment horizontal="left" vertical="center" wrapText="1"/>
    </xf>
    <xf numFmtId="0" fontId="5" fillId="7" borderId="23" xfId="0" applyFont="1" applyFill="1" applyBorder="1" applyAlignment="1">
      <alignment horizontal="left" vertical="center" wrapText="1"/>
    </xf>
    <xf numFmtId="0" fontId="5" fillId="7" borderId="24" xfId="0" applyFont="1" applyFill="1" applyBorder="1" applyAlignment="1">
      <alignment horizontal="left" vertical="center" wrapText="1"/>
    </xf>
    <xf numFmtId="0" fontId="5" fillId="7" borderId="25" xfId="0" applyFont="1" applyFill="1" applyBorder="1" applyAlignment="1">
      <alignment horizontal="left" vertical="center" wrapText="1"/>
    </xf>
    <xf numFmtId="0" fontId="5" fillId="7" borderId="26" xfId="0" applyFont="1" applyFill="1" applyBorder="1" applyAlignment="1">
      <alignment horizontal="left" vertical="center" wrapText="1"/>
    </xf>
    <xf numFmtId="0" fontId="5" fillId="7" borderId="27" xfId="0" applyFont="1" applyFill="1" applyBorder="1" applyAlignment="1">
      <alignment horizontal="left" vertical="center" wrapText="1"/>
    </xf>
    <xf numFmtId="0" fontId="10" fillId="7" borderId="0" xfId="0" applyFont="1" applyFill="1" applyAlignment="1">
      <alignment horizontal="center"/>
    </xf>
    <xf numFmtId="0" fontId="5" fillId="8" borderId="0" xfId="0" applyFont="1" applyFill="1" applyAlignment="1">
      <alignment wrapText="1"/>
    </xf>
    <xf numFmtId="0" fontId="11" fillId="9" borderId="0" xfId="0" applyFont="1" applyFill="1" applyAlignment="1">
      <alignment horizontal="left"/>
    </xf>
    <xf numFmtId="0" fontId="12" fillId="4" borderId="0" xfId="0" applyFont="1" applyFill="1" applyAlignment="1">
      <alignment horizontal="center" vertical="center" wrapText="1"/>
    </xf>
    <xf numFmtId="0" fontId="13" fillId="9" borderId="26" xfId="0" applyFont="1" applyFill="1" applyBorder="1" applyAlignment="1">
      <alignment horizontal="left"/>
    </xf>
    <xf numFmtId="0" fontId="0" fillId="7" borderId="0" xfId="0" applyFill="1" applyAlignment="1">
      <alignment wrapText="1"/>
    </xf>
    <xf numFmtId="0" fontId="0" fillId="7" borderId="0" xfId="0" applyFill="1" applyAlignment="1">
      <alignment vertical="center" wrapText="1"/>
    </xf>
    <xf numFmtId="43" fontId="14" fillId="3" borderId="0" xfId="1" applyFont="1" applyFill="1" applyAlignment="1">
      <alignment horizontal="center" vertical="center"/>
    </xf>
    <xf numFmtId="0" fontId="15" fillId="4" borderId="0" xfId="0" applyFont="1" applyFill="1" applyAlignment="1">
      <alignment horizontal="center" vertical="center"/>
    </xf>
    <xf numFmtId="0" fontId="0" fillId="0" borderId="28" xfId="0" applyBorder="1"/>
    <xf numFmtId="0" fontId="0" fillId="0" borderId="29" xfId="0" applyBorder="1"/>
    <xf numFmtId="0" fontId="0" fillId="0" borderId="30" xfId="0" applyBorder="1"/>
    <xf numFmtId="0" fontId="0" fillId="0" borderId="31" xfId="0" applyBorder="1"/>
    <xf numFmtId="0" fontId="0" fillId="0" borderId="32" xfId="0" applyBorder="1"/>
    <xf numFmtId="0" fontId="0" fillId="0" borderId="33" xfId="0" applyBorder="1"/>
    <xf numFmtId="0" fontId="0" fillId="0" borderId="34" xfId="0" applyBorder="1"/>
    <xf numFmtId="0" fontId="0" fillId="0" borderId="35" xfId="0" applyBorder="1"/>
    <xf numFmtId="0" fontId="9" fillId="0" borderId="28" xfId="0" applyFont="1" applyBorder="1" applyAlignment="1">
      <alignment horizontal="center" vertical="center" wrapText="1"/>
    </xf>
    <xf numFmtId="0" fontId="9" fillId="0" borderId="0" xfId="0" applyFont="1" applyBorder="1" applyAlignment="1">
      <alignment horizontal="center" vertical="center" wrapText="1"/>
    </xf>
    <xf numFmtId="0" fontId="0" fillId="0" borderId="0" xfId="0" applyFill="1" applyBorder="1"/>
    <xf numFmtId="0" fontId="9" fillId="0" borderId="0" xfId="0" applyFont="1" applyBorder="1" applyAlignment="1">
      <alignment horizontal="center" vertical="center" wrapText="1"/>
    </xf>
    <xf numFmtId="0" fontId="0" fillId="0" borderId="0" xfId="0" applyFill="1" applyBorder="1" applyAlignment="1">
      <alignment vertical="top"/>
    </xf>
  </cellXfs>
  <cellStyles count="2">
    <cellStyle name="Comma" xfId="1" builtinId="3"/>
    <cellStyle name="Normal" xfId="0" builtinId="0"/>
  </cellStyles>
  <dxfs count="86">
    <dxf>
      <fill>
        <patternFill>
          <bgColor theme="9" tint="0.39994506668294322"/>
        </patternFill>
      </fill>
    </dxf>
    <dxf>
      <fill>
        <patternFill>
          <bgColor rgb="FFFFFF99"/>
        </patternFill>
      </fill>
    </dxf>
    <dxf>
      <fill>
        <patternFill>
          <bgColor theme="9" tint="0.39994506668294322"/>
        </patternFill>
      </fill>
    </dxf>
    <dxf>
      <fill>
        <patternFill>
          <bgColor rgb="FFFFFF99"/>
        </patternFill>
      </fill>
    </dxf>
    <dxf>
      <fill>
        <patternFill>
          <bgColor rgb="FFFF3300"/>
        </patternFill>
      </fill>
    </dxf>
    <dxf>
      <fill>
        <patternFill>
          <bgColor rgb="FFFFFF66"/>
        </patternFill>
      </fill>
    </dxf>
    <dxf>
      <fill>
        <patternFill>
          <bgColor theme="9" tint="0.39994506668294322"/>
        </patternFill>
      </fill>
    </dxf>
    <dxf>
      <fill>
        <patternFill>
          <bgColor rgb="FFFF0000"/>
        </patternFill>
      </fill>
    </dxf>
    <dxf>
      <fill>
        <patternFill>
          <bgColor rgb="FFFFFF66"/>
        </patternFill>
      </fill>
    </dxf>
    <dxf>
      <fill>
        <patternFill>
          <bgColor theme="9" tint="0.39994506668294322"/>
        </patternFill>
      </fill>
    </dxf>
    <dxf>
      <fill>
        <patternFill>
          <bgColor rgb="FFFF0000"/>
        </patternFill>
      </fill>
    </dxf>
    <dxf>
      <fill>
        <patternFill>
          <bgColor theme="9" tint="0.39994506668294322"/>
        </patternFill>
      </fill>
    </dxf>
    <dxf>
      <fill>
        <patternFill>
          <bgColor rgb="FFFFFF66"/>
        </patternFill>
      </fill>
    </dxf>
    <dxf>
      <fill>
        <patternFill>
          <bgColor rgb="FFFF0000"/>
        </patternFill>
      </fill>
    </dxf>
    <dxf>
      <fill>
        <patternFill>
          <bgColor rgb="FFFFFF66"/>
        </patternFill>
      </fill>
    </dxf>
    <dxf>
      <fill>
        <patternFill>
          <bgColor theme="9" tint="0.39994506668294322"/>
        </patternFill>
      </fill>
    </dxf>
    <dxf>
      <fill>
        <patternFill>
          <bgColor rgb="FFFF0000"/>
        </patternFill>
      </fill>
    </dxf>
    <dxf>
      <fill>
        <patternFill>
          <bgColor theme="9" tint="0.39994506668294322"/>
        </patternFill>
      </fill>
    </dxf>
    <dxf>
      <fill>
        <patternFill>
          <bgColor rgb="FFFFFF99"/>
        </patternFill>
      </fill>
    </dxf>
    <dxf>
      <fill>
        <patternFill>
          <bgColor rgb="FFFF3300"/>
        </patternFill>
      </fill>
    </dxf>
    <dxf>
      <fill>
        <patternFill>
          <bgColor rgb="FFFFFF66"/>
        </patternFill>
      </fill>
    </dxf>
    <dxf>
      <fill>
        <patternFill>
          <bgColor theme="9" tint="0.39994506668294322"/>
        </patternFill>
      </fill>
    </dxf>
    <dxf>
      <fill>
        <patternFill>
          <bgColor rgb="FFFFFF66"/>
        </patternFill>
      </fill>
    </dxf>
    <dxf>
      <fill>
        <patternFill>
          <bgColor theme="9" tint="0.39994506668294322"/>
        </patternFill>
      </fill>
    </dxf>
    <dxf>
      <fill>
        <patternFill>
          <bgColor rgb="FFFF0000"/>
        </patternFill>
      </fill>
    </dxf>
    <dxf>
      <fill>
        <patternFill>
          <bgColor rgb="FFFFFF66"/>
        </patternFill>
      </fill>
    </dxf>
    <dxf>
      <fill>
        <patternFill>
          <bgColor theme="9" tint="0.39994506668294322"/>
        </patternFill>
      </fill>
    </dxf>
    <dxf>
      <fill>
        <patternFill>
          <bgColor rgb="FFFF0000"/>
        </patternFill>
      </fill>
    </dxf>
    <dxf>
      <numFmt numFmtId="2" formatCode="0.00"/>
    </dxf>
    <dxf>
      <numFmt numFmtId="2" formatCode="0.00"/>
    </dxf>
    <dxf>
      <alignment horizontal="center" vertical="bottom" textRotation="0" wrapText="0" indent="0" justifyLastLine="0" shrinkToFit="0" readingOrder="0"/>
      <border diagonalUp="0" diagonalDown="0">
        <left style="thin">
          <color indexed="64"/>
        </left>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2" formatCode="0.00"/>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2" formatCode="0.00"/>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2" formatCode="0.00"/>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2" formatCode="0.00"/>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border diagonalUp="0" diagonalDown="0">
        <left/>
        <right style="thin">
          <color indexed="64"/>
        </right>
        <top style="thin">
          <color indexed="64"/>
        </top>
        <bottom style="thin">
          <color indexed="64"/>
        </bottom>
        <vertical/>
        <horizontal/>
      </border>
    </dxf>
    <dxf>
      <border outline="0">
        <left style="thin">
          <color indexed="64"/>
        </left>
        <right style="thin">
          <color indexed="64"/>
        </right>
        <top style="thin">
          <color indexed="64"/>
        </top>
        <bottom style="medium">
          <color indexed="64"/>
        </bottom>
      </border>
    </dxf>
    <dxf>
      <alignment horizontal="center" vertical="bottom" textRotation="0" wrapText="0" indent="0" justifyLastLine="0" shrinkToFit="0" readingOrder="0"/>
    </dxf>
    <dxf>
      <border outline="0">
        <bottom style="medium">
          <color indexed="64"/>
        </bottom>
      </border>
    </dxf>
    <dxf>
      <font>
        <b/>
        <i val="0"/>
        <strike val="0"/>
        <condense val="0"/>
        <extend val="0"/>
        <outline val="0"/>
        <shadow val="0"/>
        <u val="none"/>
        <vertAlign val="baseline"/>
        <sz val="11.5"/>
        <color theme="1"/>
        <name val="Times New Roman"/>
        <family val="1"/>
        <scheme val="none"/>
      </font>
      <alignment horizontal="center" vertical="center" textRotation="0" wrapText="1" indent="0" justifyLastLine="0" shrinkToFit="0" readingOrder="0"/>
      <border diagonalUp="0" diagonalDown="0" outline="0">
        <left style="thin">
          <color indexed="64"/>
        </left>
        <right style="thin">
          <color indexed="64"/>
        </right>
        <top/>
        <bottom/>
      </border>
    </dxf>
    <dxf>
      <alignment horizontal="center" vertical="bottom" textRotation="0" wrapText="0" indent="0" justifyLastLine="0" shrinkToFit="0" readingOrder="0"/>
      <border diagonalUp="0" diagonalDown="0">
        <left style="thin">
          <color indexed="64"/>
        </left>
        <right/>
        <top style="thin">
          <color indexed="64"/>
        </top>
        <bottom style="thin">
          <color indexed="64"/>
        </bottom>
        <vertical/>
        <horizontal/>
      </border>
    </dxf>
    <dxf>
      <numFmt numFmtId="2" formatCode="0.00"/>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border diagonalUp="0" diagonalDown="0">
        <left/>
        <right style="thin">
          <color indexed="64"/>
        </right>
        <top style="thin">
          <color indexed="64"/>
        </top>
        <bottom style="thin">
          <color indexed="64"/>
        </bottom>
        <vertical/>
        <horizontal/>
      </border>
    </dxf>
    <dxf>
      <border outline="0">
        <left style="thin">
          <color indexed="64"/>
        </left>
        <right style="thin">
          <color indexed="64"/>
        </right>
        <top style="thin">
          <color indexed="64"/>
        </top>
        <bottom style="medium">
          <color indexed="64"/>
        </bottom>
      </border>
    </dxf>
    <dxf>
      <border outline="0">
        <bottom style="medium">
          <color indexed="64"/>
        </bottom>
      </border>
    </dxf>
    <dxf>
      <font>
        <b/>
        <i val="0"/>
        <strike val="0"/>
        <condense val="0"/>
        <extend val="0"/>
        <outline val="0"/>
        <shadow val="0"/>
        <u val="none"/>
        <vertAlign val="baseline"/>
        <sz val="11.5"/>
        <color theme="1"/>
        <name val="Times New Roman"/>
        <family val="1"/>
        <scheme val="none"/>
      </font>
      <alignment horizontal="center" vertical="bottom" textRotation="0" wrapText="1" indent="0" justifyLastLine="0" shrinkToFit="0" readingOrder="0"/>
      <border diagonalUp="0" diagonalDown="0" outline="0">
        <left style="thin">
          <color indexed="64"/>
        </left>
        <right style="thin">
          <color indexed="64"/>
        </right>
        <top/>
        <bottom/>
      </border>
    </dxf>
    <dxf>
      <alignment horizontal="center" vertical="bottom" textRotation="0" wrapText="0" indent="0" justifyLastLine="0" shrinkToFit="0" readingOrder="0"/>
      <border diagonalUp="0" diagonalDown="0">
        <left style="thin">
          <color indexed="64"/>
        </left>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2" formatCode="0.00"/>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2" formatCode="0.00"/>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2" formatCode="0.00"/>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2" formatCode="0.00"/>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border diagonalUp="0" diagonalDown="0">
        <left/>
        <right style="thin">
          <color indexed="64"/>
        </right>
        <top style="thin">
          <color indexed="64"/>
        </top>
        <bottom style="thin">
          <color indexed="64"/>
        </bottom>
        <vertical/>
        <horizontal/>
      </border>
    </dxf>
    <dxf>
      <border outline="0">
        <left style="thin">
          <color indexed="64"/>
        </left>
        <right style="thin">
          <color indexed="64"/>
        </right>
        <top style="thin">
          <color indexed="64"/>
        </top>
      </border>
    </dxf>
    <dxf>
      <alignment horizontal="center" vertical="bottom" textRotation="0" wrapText="0" indent="0" justifyLastLine="0" shrinkToFit="0" readingOrder="0"/>
    </dxf>
    <dxf>
      <font>
        <b/>
        <i val="0"/>
        <strike val="0"/>
        <condense val="0"/>
        <extend val="0"/>
        <outline val="0"/>
        <shadow val="0"/>
        <u val="none"/>
        <vertAlign val="baseline"/>
        <sz val="11.5"/>
        <color theme="1"/>
        <name val="Times New Roman"/>
        <family val="1"/>
        <scheme val="none"/>
      </font>
      <alignment horizontal="center" vertical="center" textRotation="0" wrapText="1" indent="0" justifyLastLine="0" shrinkToFit="0" readingOrder="0"/>
      <border diagonalUp="0" diagonalDown="0" outline="0">
        <left style="thin">
          <color indexed="64"/>
        </left>
        <right style="thin">
          <color indexed="64"/>
        </right>
        <top/>
        <bottom/>
      </border>
    </dxf>
    <dxf>
      <alignment horizontal="center" vertical="bottom" textRotation="0" wrapText="0" indent="0" justifyLastLine="0" shrinkToFit="0" readingOrder="0"/>
      <border diagonalUp="0" diagonalDown="0">
        <left style="thin">
          <color indexed="64"/>
        </left>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2" formatCode="0.00"/>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2" formatCode="0.00"/>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2" formatCode="0.00"/>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border diagonalUp="0" diagonalDown="0">
        <left/>
        <right style="thin">
          <color indexed="64"/>
        </right>
        <top style="thin">
          <color indexed="64"/>
        </top>
        <bottom style="thin">
          <color indexed="64"/>
        </bottom>
        <vertical/>
        <horizontal/>
      </border>
    </dxf>
    <dxf>
      <border outline="0">
        <left style="thin">
          <color indexed="64"/>
        </left>
        <right style="thin">
          <color indexed="64"/>
        </right>
        <top style="thin">
          <color indexed="64"/>
        </top>
        <bottom style="medium">
          <color indexed="64"/>
        </bottom>
      </border>
    </dxf>
    <dxf>
      <alignment horizontal="center" vertical="bottom" textRotation="0" wrapText="0" indent="0" justifyLastLine="0" shrinkToFit="0" readingOrder="0"/>
    </dxf>
    <dxf>
      <border outline="0">
        <bottom style="medium">
          <color indexed="64"/>
        </bottom>
      </border>
    </dxf>
    <dxf>
      <font>
        <b/>
        <i val="0"/>
        <strike val="0"/>
        <condense val="0"/>
        <extend val="0"/>
        <outline val="0"/>
        <shadow val="0"/>
        <u val="none"/>
        <vertAlign val="baseline"/>
        <sz val="11.5"/>
        <color theme="1"/>
        <name val="Times New Roman"/>
        <family val="1"/>
        <scheme val="none"/>
      </font>
      <alignment horizontal="center" vertical="center" textRotation="0" wrapText="1" indent="0" justifyLastLine="0" shrinkToFit="0" readingOrder="0"/>
      <border diagonalUp="0" diagonalDown="0" outline="0">
        <left style="thin">
          <color indexed="64"/>
        </left>
        <right style="thin">
          <color indexed="64"/>
        </right>
        <top/>
        <bottom/>
      </border>
    </dxf>
    <dxf>
      <alignment horizontal="center" vertical="bottom" textRotation="0" wrapText="0" indent="0" justifyLastLine="0" shrinkToFit="0" readingOrder="0"/>
      <border diagonalUp="0" diagonalDown="0">
        <left style="thin">
          <color indexed="64"/>
        </left>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2" formatCode="0.00"/>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2" formatCode="0.00"/>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2" formatCode="0.00"/>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2" formatCode="0.00"/>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2" formatCode="0.00"/>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border diagonalUp="0" diagonalDown="0">
        <left/>
        <right style="thin">
          <color indexed="64"/>
        </right>
        <top style="thin">
          <color indexed="64"/>
        </top>
        <bottom style="thin">
          <color indexed="64"/>
        </bottom>
        <vertical/>
        <horizontal/>
      </border>
    </dxf>
    <dxf>
      <border outline="0">
        <left style="thin">
          <color indexed="64"/>
        </left>
        <right style="thin">
          <color indexed="64"/>
        </right>
        <top style="thin">
          <color indexed="64"/>
        </top>
        <bottom style="medium">
          <color indexed="64"/>
        </bottom>
      </border>
    </dxf>
    <dxf>
      <border outline="0">
        <bottom style="medium">
          <color indexed="64"/>
        </bottom>
      </border>
    </dxf>
    <dxf>
      <font>
        <b/>
        <i val="0"/>
        <strike val="0"/>
        <condense val="0"/>
        <extend val="0"/>
        <outline val="0"/>
        <shadow val="0"/>
        <u val="none"/>
        <vertAlign val="baseline"/>
        <sz val="11.5"/>
        <color theme="1"/>
        <name val="Times New Roman"/>
        <family val="1"/>
        <scheme val="none"/>
      </font>
      <alignment horizontal="center" vertical="center" textRotation="0" wrapText="1" indent="0" justifyLastLine="0" shrinkToFit="0" readingOrder="0"/>
      <border diagonalUp="0" diagonalDown="0" outline="0">
        <left style="thin">
          <color indexed="64"/>
        </left>
        <right style="thin">
          <color indexed="64"/>
        </right>
        <top/>
        <bottom/>
      </border>
    </dxf>
  </dxfs>
  <tableStyles count="0" defaultTableStyle="TableStyleMedium2" defaultPivotStyle="PivotStyleLight16"/>
  <colors>
    <mruColors>
      <color rgb="FFFF9900"/>
      <color rgb="FFFFCC00"/>
      <color rgb="FFCCFFFF"/>
      <color rgb="FFFF3300"/>
      <color rgb="FF99CCFF"/>
      <color rgb="FFFFFF66"/>
      <color rgb="FFFFFFFF"/>
      <color rgb="FFFFFF99"/>
      <color rgb="FFFF0101"/>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pivotCacheDefinition" Target="pivotCache/pivotCacheDefinition3.xml"/><Relationship Id="rId3" Type="http://schemas.openxmlformats.org/officeDocument/2006/relationships/worksheet" Target="worksheets/sheet3.xml"/><Relationship Id="rId21"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pivotCacheDefinition" Target="pivotCache/pivotCacheDefinition2.xml"/><Relationship Id="rId2" Type="http://schemas.openxmlformats.org/officeDocument/2006/relationships/worksheet" Target="worksheets/sheet2.xml"/><Relationship Id="rId16" Type="http://schemas.openxmlformats.org/officeDocument/2006/relationships/pivotCacheDefinition" Target="pivotCache/pivotCacheDefinition1.xml"/><Relationship Id="rId20" Type="http://schemas.openxmlformats.org/officeDocument/2006/relationships/pivotCacheDefinition" Target="pivotCache/pivotCacheDefinition5.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pivotCacheDefinition" Target="pivotCache/pivotCacheDefinition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[SQL_Results.xlsx]Profitability Trend Pivot!PivotTable3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Net Profit</a:t>
            </a:r>
            <a:r>
              <a:rPr lang="en-IN" baseline="0"/>
              <a:t> margin Over the years</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'Profitability Trend Pivot'!$B$3:$B$4</c:f>
              <c:strCache>
                <c:ptCount val="1"/>
                <c:pt idx="0">
                  <c:v>TCS</c:v>
                </c:pt>
              </c:strCache>
            </c:strRef>
          </c:tx>
          <c:spPr>
            <a:solidFill>
              <a:schemeClr val="accent4">
                <a:shade val="53000"/>
              </a:schemeClr>
            </a:solidFill>
            <a:ln>
              <a:noFill/>
            </a:ln>
            <a:effectLst/>
          </c:spPr>
          <c:invertIfNegative val="0"/>
          <c:cat>
            <c:strRef>
              <c:f>'Profitability Trend Pivot'!$A$5:$A$11</c:f>
              <c:strCache>
                <c:ptCount val="6"/>
                <c:pt idx="0">
                  <c:v>2019</c:v>
                </c:pt>
                <c:pt idx="1">
                  <c:v>2020</c:v>
                </c:pt>
                <c:pt idx="2">
                  <c:v>2021</c:v>
                </c:pt>
                <c:pt idx="3">
                  <c:v>2022</c:v>
                </c:pt>
                <c:pt idx="4">
                  <c:v>2023</c:v>
                </c:pt>
                <c:pt idx="5">
                  <c:v>2024</c:v>
                </c:pt>
              </c:strCache>
            </c:strRef>
          </c:cat>
          <c:val>
            <c:numRef>
              <c:f>'Profitability Trend Pivot'!$B$5:$B$11</c:f>
              <c:numCache>
                <c:formatCode>General</c:formatCode>
                <c:ptCount val="6"/>
                <c:pt idx="0">
                  <c:v>21.49</c:v>
                </c:pt>
                <c:pt idx="1">
                  <c:v>20.61</c:v>
                </c:pt>
                <c:pt idx="2">
                  <c:v>19.75</c:v>
                </c:pt>
                <c:pt idx="3">
                  <c:v>19.989999999999998</c:v>
                </c:pt>
                <c:pt idx="4">
                  <c:v>18.690000000000001</c:v>
                </c:pt>
                <c:pt idx="5">
                  <c:v>19.059999999999999</c:v>
                </c:pt>
              </c:numCache>
            </c:numRef>
          </c:val>
          <c:extLst>
            <c:ext xmlns:c16="http://schemas.microsoft.com/office/drawing/2014/chart" uri="{C3380CC4-5D6E-409C-BE32-E72D297353CC}">
              <c16:uniqueId val="{00000000-A9AF-4FF9-A149-BDBB2DA9ACDC}"/>
            </c:ext>
          </c:extLst>
        </c:ser>
        <c:ser>
          <c:idx val="1"/>
          <c:order val="1"/>
          <c:tx>
            <c:strRef>
              <c:f>'Profitability Trend Pivot'!$C$3:$C$4</c:f>
              <c:strCache>
                <c:ptCount val="1"/>
                <c:pt idx="0">
                  <c:v>Infosys</c:v>
                </c:pt>
              </c:strCache>
            </c:strRef>
          </c:tx>
          <c:spPr>
            <a:solidFill>
              <a:schemeClr val="accent4">
                <a:shade val="76000"/>
              </a:schemeClr>
            </a:solidFill>
            <a:ln>
              <a:noFill/>
            </a:ln>
            <a:effectLst/>
          </c:spPr>
          <c:invertIfNegative val="0"/>
          <c:cat>
            <c:strRef>
              <c:f>'Profitability Trend Pivot'!$A$5:$A$11</c:f>
              <c:strCache>
                <c:ptCount val="6"/>
                <c:pt idx="0">
                  <c:v>2019</c:v>
                </c:pt>
                <c:pt idx="1">
                  <c:v>2020</c:v>
                </c:pt>
                <c:pt idx="2">
                  <c:v>2021</c:v>
                </c:pt>
                <c:pt idx="3">
                  <c:v>2022</c:v>
                </c:pt>
                <c:pt idx="4">
                  <c:v>2023</c:v>
                </c:pt>
                <c:pt idx="5">
                  <c:v>2024</c:v>
                </c:pt>
              </c:strCache>
            </c:strRef>
          </c:cat>
          <c:val>
            <c:numRef>
              <c:f>'Profitability Trend Pivot'!$C$5:$C$11</c:f>
              <c:numCache>
                <c:formatCode>General</c:formatCode>
                <c:ptCount val="6"/>
                <c:pt idx="0">
                  <c:v>18.63</c:v>
                </c:pt>
                <c:pt idx="1">
                  <c:v>18.28</c:v>
                </c:pt>
                <c:pt idx="2">
                  <c:v>19.260000000000002</c:v>
                </c:pt>
                <c:pt idx="3">
                  <c:v>18.18</c:v>
                </c:pt>
                <c:pt idx="4">
                  <c:v>16.420000000000002</c:v>
                </c:pt>
                <c:pt idx="5">
                  <c:v>17.07</c:v>
                </c:pt>
              </c:numCache>
            </c:numRef>
          </c:val>
          <c:extLst>
            <c:ext xmlns:c16="http://schemas.microsoft.com/office/drawing/2014/chart" uri="{C3380CC4-5D6E-409C-BE32-E72D297353CC}">
              <c16:uniqueId val="{00000001-A9AF-4FF9-A149-BDBB2DA9ACDC}"/>
            </c:ext>
          </c:extLst>
        </c:ser>
        <c:ser>
          <c:idx val="2"/>
          <c:order val="2"/>
          <c:tx>
            <c:strRef>
              <c:f>'Profitability Trend Pivot'!$D$3:$D$4</c:f>
              <c:strCache>
                <c:ptCount val="1"/>
                <c:pt idx="0">
                  <c:v>HCL Tech</c:v>
                </c:pt>
              </c:strCache>
            </c:strRef>
          </c:tx>
          <c:spPr>
            <a:solidFill>
              <a:schemeClr val="accent4"/>
            </a:solidFill>
            <a:ln>
              <a:noFill/>
            </a:ln>
            <a:effectLst/>
          </c:spPr>
          <c:invertIfNegative val="0"/>
          <c:cat>
            <c:strRef>
              <c:f>'Profitability Trend Pivot'!$A$5:$A$11</c:f>
              <c:strCache>
                <c:ptCount val="6"/>
                <c:pt idx="0">
                  <c:v>2019</c:v>
                </c:pt>
                <c:pt idx="1">
                  <c:v>2020</c:v>
                </c:pt>
                <c:pt idx="2">
                  <c:v>2021</c:v>
                </c:pt>
                <c:pt idx="3">
                  <c:v>2022</c:v>
                </c:pt>
                <c:pt idx="4">
                  <c:v>2023</c:v>
                </c:pt>
                <c:pt idx="5">
                  <c:v>2024</c:v>
                </c:pt>
              </c:strCache>
            </c:strRef>
          </c:cat>
          <c:val>
            <c:numRef>
              <c:f>'Profitability Trend Pivot'!$D$5:$D$11</c:f>
              <c:numCache>
                <c:formatCode>General</c:formatCode>
                <c:ptCount val="6"/>
                <c:pt idx="0">
                  <c:v>16.75</c:v>
                </c:pt>
                <c:pt idx="1">
                  <c:v>15.64</c:v>
                </c:pt>
                <c:pt idx="2">
                  <c:v>14.79</c:v>
                </c:pt>
                <c:pt idx="3">
                  <c:v>15.76</c:v>
                </c:pt>
                <c:pt idx="4">
                  <c:v>14.64</c:v>
                </c:pt>
                <c:pt idx="5">
                  <c:v>14.29</c:v>
                </c:pt>
              </c:numCache>
            </c:numRef>
          </c:val>
          <c:extLst>
            <c:ext xmlns:c16="http://schemas.microsoft.com/office/drawing/2014/chart" uri="{C3380CC4-5D6E-409C-BE32-E72D297353CC}">
              <c16:uniqueId val="{00000002-A9AF-4FF9-A149-BDBB2DA9ACDC}"/>
            </c:ext>
          </c:extLst>
        </c:ser>
        <c:ser>
          <c:idx val="3"/>
          <c:order val="3"/>
          <c:tx>
            <c:strRef>
              <c:f>'Profitability Trend Pivot'!$E$3:$E$4</c:f>
              <c:strCache>
                <c:ptCount val="1"/>
                <c:pt idx="0">
                  <c:v>Wipro</c:v>
                </c:pt>
              </c:strCache>
            </c:strRef>
          </c:tx>
          <c:spPr>
            <a:solidFill>
              <a:schemeClr val="accent4">
                <a:tint val="77000"/>
              </a:schemeClr>
            </a:solidFill>
            <a:ln>
              <a:noFill/>
            </a:ln>
            <a:effectLst/>
          </c:spPr>
          <c:invertIfNegative val="0"/>
          <c:cat>
            <c:strRef>
              <c:f>'Profitability Trend Pivot'!$A$5:$A$11</c:f>
              <c:strCache>
                <c:ptCount val="6"/>
                <c:pt idx="0">
                  <c:v>2019</c:v>
                </c:pt>
                <c:pt idx="1">
                  <c:v>2020</c:v>
                </c:pt>
                <c:pt idx="2">
                  <c:v>2021</c:v>
                </c:pt>
                <c:pt idx="3">
                  <c:v>2022</c:v>
                </c:pt>
                <c:pt idx="4">
                  <c:v>2023</c:v>
                </c:pt>
                <c:pt idx="5">
                  <c:v>2024</c:v>
                </c:pt>
              </c:strCache>
            </c:strRef>
          </c:cat>
          <c:val>
            <c:numRef>
              <c:f>'Profitability Trend Pivot'!$E$5:$E$11</c:f>
              <c:numCache>
                <c:formatCode>General</c:formatCode>
                <c:ptCount val="6"/>
                <c:pt idx="0">
                  <c:v>15.26</c:v>
                </c:pt>
                <c:pt idx="1">
                  <c:v>15.9</c:v>
                </c:pt>
                <c:pt idx="2">
                  <c:v>17.43</c:v>
                </c:pt>
                <c:pt idx="3">
                  <c:v>15.42</c:v>
                </c:pt>
                <c:pt idx="4">
                  <c:v>12.54</c:v>
                </c:pt>
                <c:pt idx="5">
                  <c:v>12.31</c:v>
                </c:pt>
              </c:numCache>
            </c:numRef>
          </c:val>
          <c:extLst>
            <c:ext xmlns:c16="http://schemas.microsoft.com/office/drawing/2014/chart" uri="{C3380CC4-5D6E-409C-BE32-E72D297353CC}">
              <c16:uniqueId val="{00000003-A9AF-4FF9-A149-BDBB2DA9ACDC}"/>
            </c:ext>
          </c:extLst>
        </c:ser>
        <c:ser>
          <c:idx val="4"/>
          <c:order val="4"/>
          <c:tx>
            <c:strRef>
              <c:f>'Profitability Trend Pivot'!$F$3:$F$4</c:f>
              <c:strCache>
                <c:ptCount val="1"/>
                <c:pt idx="0">
                  <c:v>Tech Mahindra</c:v>
                </c:pt>
              </c:strCache>
            </c:strRef>
          </c:tx>
          <c:spPr>
            <a:solidFill>
              <a:schemeClr val="accent4">
                <a:tint val="54000"/>
              </a:schemeClr>
            </a:solidFill>
            <a:ln>
              <a:noFill/>
            </a:ln>
            <a:effectLst/>
          </c:spPr>
          <c:invertIfNegative val="0"/>
          <c:cat>
            <c:strRef>
              <c:f>'Profitability Trend Pivot'!$A$5:$A$11</c:f>
              <c:strCache>
                <c:ptCount val="6"/>
                <c:pt idx="0">
                  <c:v>2019</c:v>
                </c:pt>
                <c:pt idx="1">
                  <c:v>2020</c:v>
                </c:pt>
                <c:pt idx="2">
                  <c:v>2021</c:v>
                </c:pt>
                <c:pt idx="3">
                  <c:v>2022</c:v>
                </c:pt>
                <c:pt idx="4">
                  <c:v>2023</c:v>
                </c:pt>
                <c:pt idx="5">
                  <c:v>2024</c:v>
                </c:pt>
              </c:strCache>
            </c:strRef>
          </c:cat>
          <c:val>
            <c:numRef>
              <c:f>'Profitability Trend Pivot'!$F$5:$F$11</c:f>
              <c:numCache>
                <c:formatCode>General</c:formatCode>
                <c:ptCount val="6"/>
                <c:pt idx="0">
                  <c:v>12.37</c:v>
                </c:pt>
                <c:pt idx="1">
                  <c:v>10.94</c:v>
                </c:pt>
                <c:pt idx="2">
                  <c:v>11.7</c:v>
                </c:pt>
                <c:pt idx="3">
                  <c:v>12.47</c:v>
                </c:pt>
                <c:pt idx="4">
                  <c:v>9.07</c:v>
                </c:pt>
                <c:pt idx="5">
                  <c:v>4.53</c:v>
                </c:pt>
              </c:numCache>
            </c:numRef>
          </c:val>
          <c:extLst>
            <c:ext xmlns:c16="http://schemas.microsoft.com/office/drawing/2014/chart" uri="{C3380CC4-5D6E-409C-BE32-E72D297353CC}">
              <c16:uniqueId val="{00000004-A9AF-4FF9-A149-BDBB2DA9ACDC}"/>
            </c:ext>
          </c:extLst>
        </c:ser>
        <c:dLbls>
          <c:showLegendKey val="0"/>
          <c:showVal val="0"/>
          <c:showCatName val="0"/>
          <c:showSerName val="0"/>
          <c:showPercent val="0"/>
          <c:showBubbleSize val="0"/>
        </c:dLbls>
        <c:gapWidth val="219"/>
        <c:overlap val="-27"/>
        <c:axId val="1806126800"/>
        <c:axId val="1806128720"/>
      </c:barChart>
      <c:catAx>
        <c:axId val="180612680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Years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6128720"/>
        <c:crosses val="autoZero"/>
        <c:auto val="1"/>
        <c:lblAlgn val="ctr"/>
        <c:lblOffset val="100"/>
        <c:noMultiLvlLbl val="0"/>
      </c:catAx>
      <c:valAx>
        <c:axId val="180612872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Avg.</a:t>
                </a:r>
                <a:r>
                  <a:rPr lang="en-IN" baseline="0"/>
                  <a:t> Net profit margin </a:t>
                </a:r>
                <a:endParaRPr lang="en-IN"/>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61268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[SQL_Results.xlsx]Profitability Trend Pivot!PivotTable4</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Operating</a:t>
            </a:r>
            <a:r>
              <a:rPr lang="en-IN" baseline="0"/>
              <a:t> profit over the Years</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'Profitability Trend Pivot'!$B$33:$B$34</c:f>
              <c:strCache>
                <c:ptCount val="1"/>
                <c:pt idx="0">
                  <c:v>TCS</c:v>
                </c:pt>
              </c:strCache>
            </c:strRef>
          </c:tx>
          <c:spPr>
            <a:solidFill>
              <a:schemeClr val="accent2">
                <a:shade val="53000"/>
              </a:schemeClr>
            </a:solidFill>
            <a:ln>
              <a:noFill/>
            </a:ln>
            <a:effectLst/>
          </c:spPr>
          <c:invertIfNegative val="0"/>
          <c:cat>
            <c:strRef>
              <c:f>'Profitability Trend Pivot'!$A$35:$A$41</c:f>
              <c:strCache>
                <c:ptCount val="6"/>
                <c:pt idx="0">
                  <c:v>2019</c:v>
                </c:pt>
                <c:pt idx="1">
                  <c:v>2020</c:v>
                </c:pt>
                <c:pt idx="2">
                  <c:v>2021</c:v>
                </c:pt>
                <c:pt idx="3">
                  <c:v>2022</c:v>
                </c:pt>
                <c:pt idx="4">
                  <c:v>2023</c:v>
                </c:pt>
                <c:pt idx="5">
                  <c:v>2024</c:v>
                </c:pt>
              </c:strCache>
            </c:strRef>
          </c:cat>
          <c:val>
            <c:numRef>
              <c:f>'Profitability Trend Pivot'!$B$35:$B$41</c:f>
              <c:numCache>
                <c:formatCode>0.00</c:formatCode>
                <c:ptCount val="6"/>
                <c:pt idx="0">
                  <c:v>43727</c:v>
                </c:pt>
                <c:pt idx="1">
                  <c:v>46594</c:v>
                </c:pt>
                <c:pt idx="2">
                  <c:v>48330</c:v>
                </c:pt>
                <c:pt idx="3">
                  <c:v>56953</c:v>
                </c:pt>
                <c:pt idx="4">
                  <c:v>62552</c:v>
                </c:pt>
                <c:pt idx="5">
                  <c:v>67569</c:v>
                </c:pt>
              </c:numCache>
            </c:numRef>
          </c:val>
          <c:extLst>
            <c:ext xmlns:c16="http://schemas.microsoft.com/office/drawing/2014/chart" uri="{C3380CC4-5D6E-409C-BE32-E72D297353CC}">
              <c16:uniqueId val="{00000000-C1A9-430B-8674-680FBFBEFF48}"/>
            </c:ext>
          </c:extLst>
        </c:ser>
        <c:ser>
          <c:idx val="1"/>
          <c:order val="1"/>
          <c:tx>
            <c:strRef>
              <c:f>'Profitability Trend Pivot'!$C$33:$C$34</c:f>
              <c:strCache>
                <c:ptCount val="1"/>
                <c:pt idx="0">
                  <c:v>Infosys</c:v>
                </c:pt>
              </c:strCache>
            </c:strRef>
          </c:tx>
          <c:spPr>
            <a:solidFill>
              <a:schemeClr val="accent2">
                <a:shade val="76000"/>
              </a:schemeClr>
            </a:solidFill>
            <a:ln>
              <a:noFill/>
            </a:ln>
            <a:effectLst/>
          </c:spPr>
          <c:invertIfNegative val="0"/>
          <c:cat>
            <c:strRef>
              <c:f>'Profitability Trend Pivot'!$A$35:$A$41</c:f>
              <c:strCache>
                <c:ptCount val="6"/>
                <c:pt idx="0">
                  <c:v>2019</c:v>
                </c:pt>
                <c:pt idx="1">
                  <c:v>2020</c:v>
                </c:pt>
                <c:pt idx="2">
                  <c:v>2021</c:v>
                </c:pt>
                <c:pt idx="3">
                  <c:v>2022</c:v>
                </c:pt>
                <c:pt idx="4">
                  <c:v>2023</c:v>
                </c:pt>
                <c:pt idx="5">
                  <c:v>2024</c:v>
                </c:pt>
              </c:strCache>
            </c:strRef>
          </c:cat>
          <c:val>
            <c:numRef>
              <c:f>'Profitability Trend Pivot'!$C$35:$C$41</c:f>
              <c:numCache>
                <c:formatCode>0.00</c:formatCode>
                <c:ptCount val="6"/>
                <c:pt idx="0">
                  <c:v>23046</c:v>
                </c:pt>
                <c:pt idx="1">
                  <c:v>25025</c:v>
                </c:pt>
                <c:pt idx="2">
                  <c:v>30018</c:v>
                </c:pt>
                <c:pt idx="3">
                  <c:v>33750</c:v>
                </c:pt>
                <c:pt idx="4">
                  <c:v>37818</c:v>
                </c:pt>
                <c:pt idx="5">
                  <c:v>41121</c:v>
                </c:pt>
              </c:numCache>
            </c:numRef>
          </c:val>
          <c:extLst>
            <c:ext xmlns:c16="http://schemas.microsoft.com/office/drawing/2014/chart" uri="{C3380CC4-5D6E-409C-BE32-E72D297353CC}">
              <c16:uniqueId val="{00000001-C1A9-430B-8674-680FBFBEFF48}"/>
            </c:ext>
          </c:extLst>
        </c:ser>
        <c:ser>
          <c:idx val="2"/>
          <c:order val="2"/>
          <c:tx>
            <c:strRef>
              <c:f>'Profitability Trend Pivot'!$D$33:$D$34</c:f>
              <c:strCache>
                <c:ptCount val="1"/>
                <c:pt idx="0">
                  <c:v>HCL Tech</c:v>
                </c:pt>
              </c:strCache>
            </c:strRef>
          </c:tx>
          <c:spPr>
            <a:solidFill>
              <a:schemeClr val="accent2"/>
            </a:solidFill>
            <a:ln>
              <a:noFill/>
            </a:ln>
            <a:effectLst/>
          </c:spPr>
          <c:invertIfNegative val="0"/>
          <c:cat>
            <c:strRef>
              <c:f>'Profitability Trend Pivot'!$A$35:$A$41</c:f>
              <c:strCache>
                <c:ptCount val="6"/>
                <c:pt idx="0">
                  <c:v>2019</c:v>
                </c:pt>
                <c:pt idx="1">
                  <c:v>2020</c:v>
                </c:pt>
                <c:pt idx="2">
                  <c:v>2021</c:v>
                </c:pt>
                <c:pt idx="3">
                  <c:v>2022</c:v>
                </c:pt>
                <c:pt idx="4">
                  <c:v>2023</c:v>
                </c:pt>
                <c:pt idx="5">
                  <c:v>2024</c:v>
                </c:pt>
              </c:strCache>
            </c:strRef>
          </c:cat>
          <c:val>
            <c:numRef>
              <c:f>'Profitability Trend Pivot'!$D$35:$D$41</c:f>
              <c:numCache>
                <c:formatCode>0.00</c:formatCode>
                <c:ptCount val="6"/>
                <c:pt idx="0">
                  <c:v>14869</c:v>
                </c:pt>
                <c:pt idx="1">
                  <c:v>17905</c:v>
                </c:pt>
                <c:pt idx="2">
                  <c:v>20951</c:v>
                </c:pt>
                <c:pt idx="3">
                  <c:v>21572</c:v>
                </c:pt>
                <c:pt idx="4">
                  <c:v>23992</c:v>
                </c:pt>
                <c:pt idx="5">
                  <c:v>25685</c:v>
                </c:pt>
              </c:numCache>
            </c:numRef>
          </c:val>
          <c:extLst>
            <c:ext xmlns:c16="http://schemas.microsoft.com/office/drawing/2014/chart" uri="{C3380CC4-5D6E-409C-BE32-E72D297353CC}">
              <c16:uniqueId val="{00000002-C1A9-430B-8674-680FBFBEFF48}"/>
            </c:ext>
          </c:extLst>
        </c:ser>
        <c:ser>
          <c:idx val="3"/>
          <c:order val="3"/>
          <c:tx>
            <c:strRef>
              <c:f>'Profitability Trend Pivot'!$E$33:$E$34</c:f>
              <c:strCache>
                <c:ptCount val="1"/>
                <c:pt idx="0">
                  <c:v>Wipro</c:v>
                </c:pt>
              </c:strCache>
            </c:strRef>
          </c:tx>
          <c:spPr>
            <a:solidFill>
              <a:schemeClr val="accent2">
                <a:tint val="77000"/>
              </a:schemeClr>
            </a:solidFill>
            <a:ln>
              <a:noFill/>
            </a:ln>
            <a:effectLst/>
          </c:spPr>
          <c:invertIfNegative val="0"/>
          <c:cat>
            <c:strRef>
              <c:f>'Profitability Trend Pivot'!$A$35:$A$41</c:f>
              <c:strCache>
                <c:ptCount val="6"/>
                <c:pt idx="0">
                  <c:v>2019</c:v>
                </c:pt>
                <c:pt idx="1">
                  <c:v>2020</c:v>
                </c:pt>
                <c:pt idx="2">
                  <c:v>2021</c:v>
                </c:pt>
                <c:pt idx="3">
                  <c:v>2022</c:v>
                </c:pt>
                <c:pt idx="4">
                  <c:v>2023</c:v>
                </c:pt>
                <c:pt idx="5">
                  <c:v>2024</c:v>
                </c:pt>
              </c:strCache>
            </c:strRef>
          </c:cat>
          <c:val>
            <c:numRef>
              <c:f>'Profitability Trend Pivot'!$E$35:$E$41</c:f>
              <c:numCache>
                <c:formatCode>0.00</c:formatCode>
                <c:ptCount val="6"/>
                <c:pt idx="0">
                  <c:v>14212.2</c:v>
                </c:pt>
                <c:pt idx="1">
                  <c:v>15020.7</c:v>
                </c:pt>
                <c:pt idx="2">
                  <c:v>17103.5</c:v>
                </c:pt>
                <c:pt idx="3">
                  <c:v>18737.3</c:v>
                </c:pt>
                <c:pt idx="4">
                  <c:v>19097.099999999999</c:v>
                </c:pt>
                <c:pt idx="5">
                  <c:v>19316.400000000001</c:v>
                </c:pt>
              </c:numCache>
            </c:numRef>
          </c:val>
          <c:extLst>
            <c:ext xmlns:c16="http://schemas.microsoft.com/office/drawing/2014/chart" uri="{C3380CC4-5D6E-409C-BE32-E72D297353CC}">
              <c16:uniqueId val="{00000003-C1A9-430B-8674-680FBFBEFF48}"/>
            </c:ext>
          </c:extLst>
        </c:ser>
        <c:ser>
          <c:idx val="4"/>
          <c:order val="4"/>
          <c:tx>
            <c:strRef>
              <c:f>'Profitability Trend Pivot'!$F$33:$F$34</c:f>
              <c:strCache>
                <c:ptCount val="1"/>
                <c:pt idx="0">
                  <c:v>Tech Mahindra</c:v>
                </c:pt>
              </c:strCache>
            </c:strRef>
          </c:tx>
          <c:spPr>
            <a:solidFill>
              <a:schemeClr val="accent2">
                <a:tint val="54000"/>
              </a:schemeClr>
            </a:solidFill>
            <a:ln>
              <a:noFill/>
            </a:ln>
            <a:effectLst/>
          </c:spPr>
          <c:invertIfNegative val="0"/>
          <c:cat>
            <c:strRef>
              <c:f>'Profitability Trend Pivot'!$A$35:$A$41</c:f>
              <c:strCache>
                <c:ptCount val="6"/>
                <c:pt idx="0">
                  <c:v>2019</c:v>
                </c:pt>
                <c:pt idx="1">
                  <c:v>2020</c:v>
                </c:pt>
                <c:pt idx="2">
                  <c:v>2021</c:v>
                </c:pt>
                <c:pt idx="3">
                  <c:v>2022</c:v>
                </c:pt>
                <c:pt idx="4">
                  <c:v>2023</c:v>
                </c:pt>
                <c:pt idx="5">
                  <c:v>2024</c:v>
                </c:pt>
              </c:strCache>
            </c:strRef>
          </c:cat>
          <c:val>
            <c:numRef>
              <c:f>'Profitability Trend Pivot'!$F$35:$F$41</c:f>
              <c:numCache>
                <c:formatCode>0.00</c:formatCode>
                <c:ptCount val="6"/>
                <c:pt idx="0">
                  <c:v>6814.4</c:v>
                </c:pt>
                <c:pt idx="1">
                  <c:v>6831.1</c:v>
                </c:pt>
                <c:pt idx="2">
                  <c:v>7659.6</c:v>
                </c:pt>
                <c:pt idx="3">
                  <c:v>9071.1</c:v>
                </c:pt>
                <c:pt idx="4">
                  <c:v>8702.1</c:v>
                </c:pt>
                <c:pt idx="5">
                  <c:v>5394.7</c:v>
                </c:pt>
              </c:numCache>
            </c:numRef>
          </c:val>
          <c:extLst>
            <c:ext xmlns:c16="http://schemas.microsoft.com/office/drawing/2014/chart" uri="{C3380CC4-5D6E-409C-BE32-E72D297353CC}">
              <c16:uniqueId val="{00000004-C1A9-430B-8674-680FBFBEFF48}"/>
            </c:ext>
          </c:extLst>
        </c:ser>
        <c:dLbls>
          <c:showLegendKey val="0"/>
          <c:showVal val="0"/>
          <c:showCatName val="0"/>
          <c:showSerName val="0"/>
          <c:showPercent val="0"/>
          <c:showBubbleSize val="0"/>
        </c:dLbls>
        <c:gapWidth val="219"/>
        <c:overlap val="-27"/>
        <c:axId val="510780880"/>
        <c:axId val="510785680"/>
      </c:barChart>
      <c:catAx>
        <c:axId val="51078088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Years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0785680"/>
        <c:crosses val="autoZero"/>
        <c:auto val="1"/>
        <c:lblAlgn val="ctr"/>
        <c:lblOffset val="100"/>
        <c:noMultiLvlLbl val="0"/>
      </c:catAx>
      <c:valAx>
        <c:axId val="51078568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Operating Profit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078088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[SQL_Results.xlsx]Financial Health Pivot!PivotTable1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ROE Over the Years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'Financial Health Pivot'!$B$3:$B$4</c:f>
              <c:strCache>
                <c:ptCount val="1"/>
                <c:pt idx="0">
                  <c:v>TCS</c:v>
                </c:pt>
              </c:strCache>
            </c:strRef>
          </c:tx>
          <c:spPr>
            <a:solidFill>
              <a:schemeClr val="accent2">
                <a:shade val="53000"/>
              </a:schemeClr>
            </a:solidFill>
            <a:ln>
              <a:noFill/>
            </a:ln>
            <a:effectLst/>
          </c:spPr>
          <c:invertIfNegative val="0"/>
          <c:cat>
            <c:strRef>
              <c:f>'Financial Health Pivot'!$A$5:$A$11</c:f>
              <c:strCache>
                <c:ptCount val="6"/>
                <c:pt idx="0">
                  <c:v>2019</c:v>
                </c:pt>
                <c:pt idx="1">
                  <c:v>2020</c:v>
                </c:pt>
                <c:pt idx="2">
                  <c:v>2021</c:v>
                </c:pt>
                <c:pt idx="3">
                  <c:v>2022</c:v>
                </c:pt>
                <c:pt idx="4">
                  <c:v>2023</c:v>
                </c:pt>
                <c:pt idx="5">
                  <c:v>2024</c:v>
                </c:pt>
              </c:strCache>
            </c:strRef>
          </c:cat>
          <c:val>
            <c:numRef>
              <c:f>'Financial Health Pivot'!$B$5:$B$11</c:f>
              <c:numCache>
                <c:formatCode>General</c:formatCode>
                <c:ptCount val="6"/>
                <c:pt idx="0">
                  <c:v>35.19</c:v>
                </c:pt>
                <c:pt idx="1">
                  <c:v>38.44</c:v>
                </c:pt>
                <c:pt idx="2">
                  <c:v>37.520000000000003</c:v>
                </c:pt>
                <c:pt idx="3">
                  <c:v>43</c:v>
                </c:pt>
                <c:pt idx="4">
                  <c:v>46.61</c:v>
                </c:pt>
                <c:pt idx="5">
                  <c:v>50.73</c:v>
                </c:pt>
              </c:numCache>
            </c:numRef>
          </c:val>
          <c:extLst>
            <c:ext xmlns:c16="http://schemas.microsoft.com/office/drawing/2014/chart" uri="{C3380CC4-5D6E-409C-BE32-E72D297353CC}">
              <c16:uniqueId val="{00000000-8E12-4533-A7BB-D847BA60D951}"/>
            </c:ext>
          </c:extLst>
        </c:ser>
        <c:ser>
          <c:idx val="1"/>
          <c:order val="1"/>
          <c:tx>
            <c:strRef>
              <c:f>'Financial Health Pivot'!$C$3:$C$4</c:f>
              <c:strCache>
                <c:ptCount val="1"/>
                <c:pt idx="0">
                  <c:v>Infosys</c:v>
                </c:pt>
              </c:strCache>
            </c:strRef>
          </c:tx>
          <c:spPr>
            <a:solidFill>
              <a:schemeClr val="accent2">
                <a:shade val="76000"/>
              </a:schemeClr>
            </a:solidFill>
            <a:ln>
              <a:noFill/>
            </a:ln>
            <a:effectLst/>
          </c:spPr>
          <c:invertIfNegative val="0"/>
          <c:cat>
            <c:strRef>
              <c:f>'Financial Health Pivot'!$A$5:$A$11</c:f>
              <c:strCache>
                <c:ptCount val="6"/>
                <c:pt idx="0">
                  <c:v>2019</c:v>
                </c:pt>
                <c:pt idx="1">
                  <c:v>2020</c:v>
                </c:pt>
                <c:pt idx="2">
                  <c:v>2021</c:v>
                </c:pt>
                <c:pt idx="3">
                  <c:v>2022</c:v>
                </c:pt>
                <c:pt idx="4">
                  <c:v>2023</c:v>
                </c:pt>
                <c:pt idx="5">
                  <c:v>2024</c:v>
                </c:pt>
              </c:strCache>
            </c:strRef>
          </c:cat>
          <c:val>
            <c:numRef>
              <c:f>'Financial Health Pivot'!$C$5:$C$11</c:f>
              <c:numCache>
                <c:formatCode>General</c:formatCode>
                <c:ptCount val="6"/>
                <c:pt idx="0">
                  <c:v>23.72</c:v>
                </c:pt>
                <c:pt idx="1">
                  <c:v>25.35</c:v>
                </c:pt>
                <c:pt idx="2">
                  <c:v>25.34</c:v>
                </c:pt>
                <c:pt idx="3">
                  <c:v>29.34</c:v>
                </c:pt>
                <c:pt idx="4">
                  <c:v>31.95</c:v>
                </c:pt>
                <c:pt idx="5">
                  <c:v>29.77</c:v>
                </c:pt>
              </c:numCache>
            </c:numRef>
          </c:val>
          <c:extLst>
            <c:ext xmlns:c16="http://schemas.microsoft.com/office/drawing/2014/chart" uri="{C3380CC4-5D6E-409C-BE32-E72D297353CC}">
              <c16:uniqueId val="{00000001-8E12-4533-A7BB-D847BA60D951}"/>
            </c:ext>
          </c:extLst>
        </c:ser>
        <c:ser>
          <c:idx val="2"/>
          <c:order val="2"/>
          <c:tx>
            <c:strRef>
              <c:f>'Financial Health Pivot'!$D$3:$D$4</c:f>
              <c:strCache>
                <c:ptCount val="1"/>
                <c:pt idx="0">
                  <c:v>HCL Tech</c:v>
                </c:pt>
              </c:strCache>
            </c:strRef>
          </c:tx>
          <c:spPr>
            <a:solidFill>
              <a:schemeClr val="accent2"/>
            </a:solidFill>
            <a:ln>
              <a:noFill/>
            </a:ln>
            <a:effectLst/>
          </c:spPr>
          <c:invertIfNegative val="0"/>
          <c:cat>
            <c:strRef>
              <c:f>'Financial Health Pivot'!$A$5:$A$11</c:f>
              <c:strCache>
                <c:ptCount val="6"/>
                <c:pt idx="0">
                  <c:v>2019</c:v>
                </c:pt>
                <c:pt idx="1">
                  <c:v>2020</c:v>
                </c:pt>
                <c:pt idx="2">
                  <c:v>2021</c:v>
                </c:pt>
                <c:pt idx="3">
                  <c:v>2022</c:v>
                </c:pt>
                <c:pt idx="4">
                  <c:v>2023</c:v>
                </c:pt>
                <c:pt idx="5">
                  <c:v>2024</c:v>
                </c:pt>
              </c:strCache>
            </c:strRef>
          </c:cat>
          <c:val>
            <c:numRef>
              <c:f>'Financial Health Pivot'!$D$5:$D$11</c:f>
              <c:numCache>
                <c:formatCode>General</c:formatCode>
                <c:ptCount val="6"/>
                <c:pt idx="0">
                  <c:v>24.46</c:v>
                </c:pt>
                <c:pt idx="1">
                  <c:v>21.57</c:v>
                </c:pt>
                <c:pt idx="2">
                  <c:v>18.600000000000001</c:v>
                </c:pt>
                <c:pt idx="3">
                  <c:v>21.8</c:v>
                </c:pt>
                <c:pt idx="4">
                  <c:v>22.71</c:v>
                </c:pt>
                <c:pt idx="5">
                  <c:v>23</c:v>
                </c:pt>
              </c:numCache>
            </c:numRef>
          </c:val>
          <c:extLst>
            <c:ext xmlns:c16="http://schemas.microsoft.com/office/drawing/2014/chart" uri="{C3380CC4-5D6E-409C-BE32-E72D297353CC}">
              <c16:uniqueId val="{00000002-8E12-4533-A7BB-D847BA60D951}"/>
            </c:ext>
          </c:extLst>
        </c:ser>
        <c:ser>
          <c:idx val="3"/>
          <c:order val="3"/>
          <c:tx>
            <c:strRef>
              <c:f>'Financial Health Pivot'!$E$3:$E$4</c:f>
              <c:strCache>
                <c:ptCount val="1"/>
                <c:pt idx="0">
                  <c:v>Tech Mahindra</c:v>
                </c:pt>
              </c:strCache>
            </c:strRef>
          </c:tx>
          <c:spPr>
            <a:solidFill>
              <a:schemeClr val="accent2">
                <a:tint val="77000"/>
              </a:schemeClr>
            </a:solidFill>
            <a:ln>
              <a:noFill/>
            </a:ln>
            <a:effectLst/>
          </c:spPr>
          <c:invertIfNegative val="0"/>
          <c:cat>
            <c:strRef>
              <c:f>'Financial Health Pivot'!$A$5:$A$11</c:f>
              <c:strCache>
                <c:ptCount val="6"/>
                <c:pt idx="0">
                  <c:v>2019</c:v>
                </c:pt>
                <c:pt idx="1">
                  <c:v>2020</c:v>
                </c:pt>
                <c:pt idx="2">
                  <c:v>2021</c:v>
                </c:pt>
                <c:pt idx="3">
                  <c:v>2022</c:v>
                </c:pt>
                <c:pt idx="4">
                  <c:v>2023</c:v>
                </c:pt>
                <c:pt idx="5">
                  <c:v>2024</c:v>
                </c:pt>
              </c:strCache>
            </c:strRef>
          </c:cat>
          <c:val>
            <c:numRef>
              <c:f>'Financial Health Pivot'!$E$5:$E$11</c:f>
              <c:numCache>
                <c:formatCode>General</c:formatCode>
                <c:ptCount val="6"/>
                <c:pt idx="0">
                  <c:v>21.19</c:v>
                </c:pt>
                <c:pt idx="1">
                  <c:v>18.489999999999998</c:v>
                </c:pt>
                <c:pt idx="2">
                  <c:v>17.809999999999999</c:v>
                </c:pt>
                <c:pt idx="3">
                  <c:v>20.7</c:v>
                </c:pt>
                <c:pt idx="4">
                  <c:v>17.3</c:v>
                </c:pt>
                <c:pt idx="5">
                  <c:v>8.84</c:v>
                </c:pt>
              </c:numCache>
            </c:numRef>
          </c:val>
          <c:extLst>
            <c:ext xmlns:c16="http://schemas.microsoft.com/office/drawing/2014/chart" uri="{C3380CC4-5D6E-409C-BE32-E72D297353CC}">
              <c16:uniqueId val="{00000003-8E12-4533-A7BB-D847BA60D951}"/>
            </c:ext>
          </c:extLst>
        </c:ser>
        <c:ser>
          <c:idx val="4"/>
          <c:order val="4"/>
          <c:tx>
            <c:strRef>
              <c:f>'Financial Health Pivot'!$F$3:$F$4</c:f>
              <c:strCache>
                <c:ptCount val="1"/>
                <c:pt idx="0">
                  <c:v>Wipro</c:v>
                </c:pt>
              </c:strCache>
            </c:strRef>
          </c:tx>
          <c:spPr>
            <a:solidFill>
              <a:schemeClr val="accent2">
                <a:tint val="54000"/>
              </a:schemeClr>
            </a:solidFill>
            <a:ln>
              <a:noFill/>
            </a:ln>
            <a:effectLst/>
          </c:spPr>
          <c:invertIfNegative val="0"/>
          <c:cat>
            <c:strRef>
              <c:f>'Financial Health Pivot'!$A$5:$A$11</c:f>
              <c:strCache>
                <c:ptCount val="6"/>
                <c:pt idx="0">
                  <c:v>2019</c:v>
                </c:pt>
                <c:pt idx="1">
                  <c:v>2020</c:v>
                </c:pt>
                <c:pt idx="2">
                  <c:v>2021</c:v>
                </c:pt>
                <c:pt idx="3">
                  <c:v>2022</c:v>
                </c:pt>
                <c:pt idx="4">
                  <c:v>2023</c:v>
                </c:pt>
                <c:pt idx="5">
                  <c:v>2024</c:v>
                </c:pt>
              </c:strCache>
            </c:strRef>
          </c:cat>
          <c:val>
            <c:numRef>
              <c:f>'Financial Health Pivot'!$F$5:$F$11</c:f>
              <c:numCache>
                <c:formatCode>General</c:formatCode>
                <c:ptCount val="6"/>
                <c:pt idx="0">
                  <c:v>15.96</c:v>
                </c:pt>
                <c:pt idx="1">
                  <c:v>17.57</c:v>
                </c:pt>
                <c:pt idx="2">
                  <c:v>19.670000000000002</c:v>
                </c:pt>
                <c:pt idx="3">
                  <c:v>18.7</c:v>
                </c:pt>
                <c:pt idx="4">
                  <c:v>14.61</c:v>
                </c:pt>
                <c:pt idx="5">
                  <c:v>14.73</c:v>
                </c:pt>
              </c:numCache>
            </c:numRef>
          </c:val>
          <c:extLst>
            <c:ext xmlns:c16="http://schemas.microsoft.com/office/drawing/2014/chart" uri="{C3380CC4-5D6E-409C-BE32-E72D297353CC}">
              <c16:uniqueId val="{00000004-8E12-4533-A7BB-D847BA60D951}"/>
            </c:ext>
          </c:extLst>
        </c:ser>
        <c:dLbls>
          <c:showLegendKey val="0"/>
          <c:showVal val="0"/>
          <c:showCatName val="0"/>
          <c:showSerName val="0"/>
          <c:showPercent val="0"/>
          <c:showBubbleSize val="0"/>
        </c:dLbls>
        <c:gapWidth val="182"/>
        <c:axId val="1363378080"/>
        <c:axId val="1363378560"/>
      </c:barChart>
      <c:catAx>
        <c:axId val="136337808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Years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63378560"/>
        <c:crosses val="autoZero"/>
        <c:auto val="1"/>
        <c:lblAlgn val="ctr"/>
        <c:lblOffset val="100"/>
        <c:noMultiLvlLbl val="0"/>
      </c:catAx>
      <c:valAx>
        <c:axId val="1363378560"/>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ROE%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6337808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[SQL_Results.xlsx]Financial Health Pivot!PivotTable2</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Debt-to-Equity</a:t>
            </a:r>
            <a:r>
              <a:rPr lang="en-IN" baseline="0"/>
              <a:t> over the years</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'Financial Health Pivot'!$B$33:$B$34</c:f>
              <c:strCache>
                <c:ptCount val="1"/>
                <c:pt idx="0">
                  <c:v>Wipro</c:v>
                </c:pt>
              </c:strCache>
            </c:strRef>
          </c:tx>
          <c:spPr>
            <a:solidFill>
              <a:schemeClr val="accent2">
                <a:shade val="53000"/>
              </a:schemeClr>
            </a:solidFill>
            <a:ln>
              <a:noFill/>
            </a:ln>
            <a:effectLst/>
          </c:spPr>
          <c:invertIfNegative val="0"/>
          <c:cat>
            <c:strRef>
              <c:f>'Financial Health Pivot'!$A$35:$A$41</c:f>
              <c:strCache>
                <c:ptCount val="6"/>
                <c:pt idx="0">
                  <c:v>2019</c:v>
                </c:pt>
                <c:pt idx="1">
                  <c:v>2020</c:v>
                </c:pt>
                <c:pt idx="2">
                  <c:v>2021</c:v>
                </c:pt>
                <c:pt idx="3">
                  <c:v>2022</c:v>
                </c:pt>
                <c:pt idx="4">
                  <c:v>2023</c:v>
                </c:pt>
                <c:pt idx="5">
                  <c:v>2024</c:v>
                </c:pt>
              </c:strCache>
            </c:strRef>
          </c:cat>
          <c:val>
            <c:numRef>
              <c:f>'Financial Health Pivot'!$B$35:$B$41</c:f>
              <c:numCache>
                <c:formatCode>General</c:formatCode>
                <c:ptCount val="6"/>
                <c:pt idx="0">
                  <c:v>0.18</c:v>
                </c:pt>
                <c:pt idx="1">
                  <c:v>0.18</c:v>
                </c:pt>
                <c:pt idx="2">
                  <c:v>0.19</c:v>
                </c:pt>
                <c:pt idx="3">
                  <c:v>0.27</c:v>
                </c:pt>
                <c:pt idx="4">
                  <c:v>0.22</c:v>
                </c:pt>
                <c:pt idx="5">
                  <c:v>0.22</c:v>
                </c:pt>
              </c:numCache>
            </c:numRef>
          </c:val>
          <c:extLst>
            <c:ext xmlns:c16="http://schemas.microsoft.com/office/drawing/2014/chart" uri="{C3380CC4-5D6E-409C-BE32-E72D297353CC}">
              <c16:uniqueId val="{00000000-240D-47D6-838C-B7FDA16163B8}"/>
            </c:ext>
          </c:extLst>
        </c:ser>
        <c:ser>
          <c:idx val="1"/>
          <c:order val="1"/>
          <c:tx>
            <c:strRef>
              <c:f>'Financial Health Pivot'!$C$33:$C$34</c:f>
              <c:strCache>
                <c:ptCount val="1"/>
                <c:pt idx="0">
                  <c:v>Tech Mahindra</c:v>
                </c:pt>
              </c:strCache>
            </c:strRef>
          </c:tx>
          <c:spPr>
            <a:solidFill>
              <a:schemeClr val="accent2">
                <a:shade val="76000"/>
              </a:schemeClr>
            </a:solidFill>
            <a:ln>
              <a:noFill/>
            </a:ln>
            <a:effectLst/>
          </c:spPr>
          <c:invertIfNegative val="0"/>
          <c:cat>
            <c:strRef>
              <c:f>'Financial Health Pivot'!$A$35:$A$41</c:f>
              <c:strCache>
                <c:ptCount val="6"/>
                <c:pt idx="0">
                  <c:v>2019</c:v>
                </c:pt>
                <c:pt idx="1">
                  <c:v>2020</c:v>
                </c:pt>
                <c:pt idx="2">
                  <c:v>2021</c:v>
                </c:pt>
                <c:pt idx="3">
                  <c:v>2022</c:v>
                </c:pt>
                <c:pt idx="4">
                  <c:v>2023</c:v>
                </c:pt>
                <c:pt idx="5">
                  <c:v>2024</c:v>
                </c:pt>
              </c:strCache>
            </c:strRef>
          </c:cat>
          <c:val>
            <c:numRef>
              <c:f>'Financial Health Pivot'!$C$35:$C$41</c:f>
              <c:numCache>
                <c:formatCode>General</c:formatCode>
                <c:ptCount val="6"/>
                <c:pt idx="0">
                  <c:v>0.1</c:v>
                </c:pt>
                <c:pt idx="1">
                  <c:v>0.17</c:v>
                </c:pt>
                <c:pt idx="2">
                  <c:v>0.12</c:v>
                </c:pt>
                <c:pt idx="3">
                  <c:v>0.1</c:v>
                </c:pt>
                <c:pt idx="4">
                  <c:v>0.1</c:v>
                </c:pt>
                <c:pt idx="5">
                  <c:v>0.1</c:v>
                </c:pt>
              </c:numCache>
            </c:numRef>
          </c:val>
          <c:extLst>
            <c:ext xmlns:c16="http://schemas.microsoft.com/office/drawing/2014/chart" uri="{C3380CC4-5D6E-409C-BE32-E72D297353CC}">
              <c16:uniqueId val="{00000001-240D-47D6-838C-B7FDA16163B8}"/>
            </c:ext>
          </c:extLst>
        </c:ser>
        <c:ser>
          <c:idx val="2"/>
          <c:order val="2"/>
          <c:tx>
            <c:strRef>
              <c:f>'Financial Health Pivot'!$D$33:$D$34</c:f>
              <c:strCache>
                <c:ptCount val="1"/>
                <c:pt idx="0">
                  <c:v>HCL Tech</c:v>
                </c:pt>
              </c:strCache>
            </c:strRef>
          </c:tx>
          <c:spPr>
            <a:solidFill>
              <a:schemeClr val="accent2"/>
            </a:solidFill>
            <a:ln>
              <a:noFill/>
            </a:ln>
            <a:effectLst/>
          </c:spPr>
          <c:invertIfNegative val="0"/>
          <c:cat>
            <c:strRef>
              <c:f>'Financial Health Pivot'!$A$35:$A$41</c:f>
              <c:strCache>
                <c:ptCount val="6"/>
                <c:pt idx="0">
                  <c:v>2019</c:v>
                </c:pt>
                <c:pt idx="1">
                  <c:v>2020</c:v>
                </c:pt>
                <c:pt idx="2">
                  <c:v>2021</c:v>
                </c:pt>
                <c:pt idx="3">
                  <c:v>2022</c:v>
                </c:pt>
                <c:pt idx="4">
                  <c:v>2023</c:v>
                </c:pt>
                <c:pt idx="5">
                  <c:v>2024</c:v>
                </c:pt>
              </c:strCache>
            </c:strRef>
          </c:cat>
          <c:val>
            <c:numRef>
              <c:f>'Financial Health Pivot'!$D$35:$D$41</c:f>
              <c:numCache>
                <c:formatCode>General</c:formatCode>
                <c:ptCount val="6"/>
                <c:pt idx="0">
                  <c:v>0.1</c:v>
                </c:pt>
                <c:pt idx="1">
                  <c:v>0.16</c:v>
                </c:pt>
                <c:pt idx="2">
                  <c:v>0.11</c:v>
                </c:pt>
                <c:pt idx="3">
                  <c:v>0.1</c:v>
                </c:pt>
                <c:pt idx="4">
                  <c:v>7.0000000000000007E-2</c:v>
                </c:pt>
                <c:pt idx="5">
                  <c:v>0.08</c:v>
                </c:pt>
              </c:numCache>
            </c:numRef>
          </c:val>
          <c:extLst>
            <c:ext xmlns:c16="http://schemas.microsoft.com/office/drawing/2014/chart" uri="{C3380CC4-5D6E-409C-BE32-E72D297353CC}">
              <c16:uniqueId val="{00000002-240D-47D6-838C-B7FDA16163B8}"/>
            </c:ext>
          </c:extLst>
        </c:ser>
        <c:ser>
          <c:idx val="3"/>
          <c:order val="3"/>
          <c:tx>
            <c:strRef>
              <c:f>'Financial Health Pivot'!$E$33:$E$34</c:f>
              <c:strCache>
                <c:ptCount val="1"/>
                <c:pt idx="0">
                  <c:v>Infosys</c:v>
                </c:pt>
              </c:strCache>
            </c:strRef>
          </c:tx>
          <c:spPr>
            <a:solidFill>
              <a:schemeClr val="accent2">
                <a:tint val="77000"/>
              </a:schemeClr>
            </a:solidFill>
            <a:ln>
              <a:noFill/>
            </a:ln>
            <a:effectLst/>
          </c:spPr>
          <c:invertIfNegative val="0"/>
          <c:cat>
            <c:strRef>
              <c:f>'Financial Health Pivot'!$A$35:$A$41</c:f>
              <c:strCache>
                <c:ptCount val="6"/>
                <c:pt idx="0">
                  <c:v>2019</c:v>
                </c:pt>
                <c:pt idx="1">
                  <c:v>2020</c:v>
                </c:pt>
                <c:pt idx="2">
                  <c:v>2021</c:v>
                </c:pt>
                <c:pt idx="3">
                  <c:v>2022</c:v>
                </c:pt>
                <c:pt idx="4">
                  <c:v>2023</c:v>
                </c:pt>
                <c:pt idx="5">
                  <c:v>2024</c:v>
                </c:pt>
              </c:strCache>
            </c:strRef>
          </c:cat>
          <c:val>
            <c:numRef>
              <c:f>'Financial Health Pivot'!$E$35:$E$41</c:f>
              <c:numCache>
                <c:formatCode>General</c:formatCode>
                <c:ptCount val="6"/>
                <c:pt idx="0">
                  <c:v>7.0000000000000007E-2</c:v>
                </c:pt>
                <c:pt idx="1">
                  <c:v>7.0000000000000007E-2</c:v>
                </c:pt>
                <c:pt idx="2">
                  <c:v>7.0000000000000007E-2</c:v>
                </c:pt>
                <c:pt idx="3">
                  <c:v>7.0000000000000007E-2</c:v>
                </c:pt>
                <c:pt idx="4">
                  <c:v>0.11</c:v>
                </c:pt>
                <c:pt idx="5">
                  <c:v>0.09</c:v>
                </c:pt>
              </c:numCache>
            </c:numRef>
          </c:val>
          <c:extLst>
            <c:ext xmlns:c16="http://schemas.microsoft.com/office/drawing/2014/chart" uri="{C3380CC4-5D6E-409C-BE32-E72D297353CC}">
              <c16:uniqueId val="{00000003-240D-47D6-838C-B7FDA16163B8}"/>
            </c:ext>
          </c:extLst>
        </c:ser>
        <c:ser>
          <c:idx val="4"/>
          <c:order val="4"/>
          <c:tx>
            <c:strRef>
              <c:f>'Financial Health Pivot'!$F$33:$F$34</c:f>
              <c:strCache>
                <c:ptCount val="1"/>
                <c:pt idx="0">
                  <c:v>TCS</c:v>
                </c:pt>
              </c:strCache>
            </c:strRef>
          </c:tx>
          <c:spPr>
            <a:solidFill>
              <a:schemeClr val="accent2">
                <a:tint val="54000"/>
              </a:schemeClr>
            </a:solidFill>
            <a:ln>
              <a:noFill/>
            </a:ln>
            <a:effectLst/>
          </c:spPr>
          <c:invertIfNegative val="0"/>
          <c:cat>
            <c:strRef>
              <c:f>'Financial Health Pivot'!$A$35:$A$41</c:f>
              <c:strCache>
                <c:ptCount val="6"/>
                <c:pt idx="0">
                  <c:v>2019</c:v>
                </c:pt>
                <c:pt idx="1">
                  <c:v>2020</c:v>
                </c:pt>
                <c:pt idx="2">
                  <c:v>2021</c:v>
                </c:pt>
                <c:pt idx="3">
                  <c:v>2022</c:v>
                </c:pt>
                <c:pt idx="4">
                  <c:v>2023</c:v>
                </c:pt>
                <c:pt idx="5">
                  <c:v>2024</c:v>
                </c:pt>
              </c:strCache>
            </c:strRef>
          </c:cat>
          <c:val>
            <c:numRef>
              <c:f>'Financial Health Pivot'!$F$35:$F$41</c:f>
              <c:numCache>
                <c:formatCode>General</c:formatCode>
                <c:ptCount val="6"/>
                <c:pt idx="0">
                  <c:v>0</c:v>
                </c:pt>
                <c:pt idx="1">
                  <c:v>0.1</c:v>
                </c:pt>
                <c:pt idx="2">
                  <c:v>0.09</c:v>
                </c:pt>
                <c:pt idx="3">
                  <c:v>0.09</c:v>
                </c:pt>
                <c:pt idx="4">
                  <c:v>0.09</c:v>
                </c:pt>
                <c:pt idx="5">
                  <c:v>0.09</c:v>
                </c:pt>
              </c:numCache>
            </c:numRef>
          </c:val>
          <c:extLst>
            <c:ext xmlns:c16="http://schemas.microsoft.com/office/drawing/2014/chart" uri="{C3380CC4-5D6E-409C-BE32-E72D297353CC}">
              <c16:uniqueId val="{00000004-240D-47D6-838C-B7FDA16163B8}"/>
            </c:ext>
          </c:extLst>
        </c:ser>
        <c:dLbls>
          <c:showLegendKey val="0"/>
          <c:showVal val="0"/>
          <c:showCatName val="0"/>
          <c:showSerName val="0"/>
          <c:showPercent val="0"/>
          <c:showBubbleSize val="0"/>
        </c:dLbls>
        <c:gapWidth val="182"/>
        <c:axId val="1533491296"/>
        <c:axId val="1533492256"/>
      </c:barChart>
      <c:catAx>
        <c:axId val="1533491296"/>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Years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33492256"/>
        <c:crosses val="autoZero"/>
        <c:auto val="1"/>
        <c:lblAlgn val="ctr"/>
        <c:lblOffset val="100"/>
        <c:noMultiLvlLbl val="0"/>
      </c:catAx>
      <c:valAx>
        <c:axId val="1533492256"/>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Debt-to-Equity</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3349129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[SQL_Results.xlsx]Growth Trend Pivot!PivotTable1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Revenue Growth %- Year-On-Year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'Growth Trend Pivot'!$B$3:$B$4</c:f>
              <c:strCache>
                <c:ptCount val="1"/>
                <c:pt idx="0">
                  <c:v>HCL Tech</c:v>
                </c:pt>
              </c:strCache>
            </c:strRef>
          </c:tx>
          <c:spPr>
            <a:ln w="28575" cap="rnd">
              <a:solidFill>
                <a:schemeClr val="accent1"/>
              </a:solidFill>
              <a:round/>
            </a:ln>
            <a:effectLst/>
          </c:spPr>
          <c:marker>
            <c:symbol val="none"/>
          </c:marker>
          <c:cat>
            <c:strRef>
              <c:f>'Growth Trend Pivot'!$A$5:$A$11</c:f>
              <c:strCache>
                <c:ptCount val="6"/>
                <c:pt idx="0">
                  <c:v>2019</c:v>
                </c:pt>
                <c:pt idx="1">
                  <c:v>2020</c:v>
                </c:pt>
                <c:pt idx="2">
                  <c:v>2021</c:v>
                </c:pt>
                <c:pt idx="3">
                  <c:v>2022</c:v>
                </c:pt>
                <c:pt idx="4">
                  <c:v>2023</c:v>
                </c:pt>
                <c:pt idx="5">
                  <c:v>2024</c:v>
                </c:pt>
              </c:strCache>
            </c:strRef>
          </c:cat>
          <c:val>
            <c:numRef>
              <c:f>'Growth Trend Pivot'!$B$5:$B$11</c:f>
              <c:numCache>
                <c:formatCode>General</c:formatCode>
                <c:ptCount val="6"/>
                <c:pt idx="0">
                  <c:v>#N/A</c:v>
                </c:pt>
                <c:pt idx="1">
                  <c:v>16.96</c:v>
                </c:pt>
                <c:pt idx="2">
                  <c:v>6.65</c:v>
                </c:pt>
                <c:pt idx="3">
                  <c:v>13.63</c:v>
                </c:pt>
                <c:pt idx="4">
                  <c:v>18.45</c:v>
                </c:pt>
                <c:pt idx="5">
                  <c:v>8.34</c:v>
                </c:pt>
              </c:numCache>
            </c:numRef>
          </c:val>
          <c:smooth val="0"/>
          <c:extLst>
            <c:ext xmlns:c16="http://schemas.microsoft.com/office/drawing/2014/chart" uri="{C3380CC4-5D6E-409C-BE32-E72D297353CC}">
              <c16:uniqueId val="{00000000-AEB2-4702-BA5B-AF550A880D22}"/>
            </c:ext>
          </c:extLst>
        </c:ser>
        <c:ser>
          <c:idx val="1"/>
          <c:order val="1"/>
          <c:tx>
            <c:strRef>
              <c:f>'Growth Trend Pivot'!$C$3:$C$4</c:f>
              <c:strCache>
                <c:ptCount val="1"/>
                <c:pt idx="0">
                  <c:v>Infosys</c:v>
                </c:pt>
              </c:strCache>
            </c:strRef>
          </c:tx>
          <c:spPr>
            <a:ln w="28575" cap="rnd">
              <a:solidFill>
                <a:schemeClr val="accent2"/>
              </a:solidFill>
              <a:round/>
            </a:ln>
            <a:effectLst/>
          </c:spPr>
          <c:marker>
            <c:symbol val="none"/>
          </c:marker>
          <c:cat>
            <c:strRef>
              <c:f>'Growth Trend Pivot'!$A$5:$A$11</c:f>
              <c:strCache>
                <c:ptCount val="6"/>
                <c:pt idx="0">
                  <c:v>2019</c:v>
                </c:pt>
                <c:pt idx="1">
                  <c:v>2020</c:v>
                </c:pt>
                <c:pt idx="2">
                  <c:v>2021</c:v>
                </c:pt>
                <c:pt idx="3">
                  <c:v>2022</c:v>
                </c:pt>
                <c:pt idx="4">
                  <c:v>2023</c:v>
                </c:pt>
                <c:pt idx="5">
                  <c:v>2024</c:v>
                </c:pt>
              </c:strCache>
            </c:strRef>
          </c:cat>
          <c:val>
            <c:numRef>
              <c:f>'Growth Trend Pivot'!$C$5:$C$11</c:f>
              <c:numCache>
                <c:formatCode>General</c:formatCode>
                <c:ptCount val="6"/>
                <c:pt idx="0">
                  <c:v>#N/A</c:v>
                </c:pt>
                <c:pt idx="1">
                  <c:v>9.82</c:v>
                </c:pt>
                <c:pt idx="2">
                  <c:v>10.66</c:v>
                </c:pt>
                <c:pt idx="3">
                  <c:v>21.07</c:v>
                </c:pt>
                <c:pt idx="4">
                  <c:v>20.66</c:v>
                </c:pt>
                <c:pt idx="5">
                  <c:v>4.7</c:v>
                </c:pt>
              </c:numCache>
            </c:numRef>
          </c:val>
          <c:smooth val="0"/>
          <c:extLst>
            <c:ext xmlns:c16="http://schemas.microsoft.com/office/drawing/2014/chart" uri="{C3380CC4-5D6E-409C-BE32-E72D297353CC}">
              <c16:uniqueId val="{00000001-AEB2-4702-BA5B-AF550A880D22}"/>
            </c:ext>
          </c:extLst>
        </c:ser>
        <c:ser>
          <c:idx val="2"/>
          <c:order val="2"/>
          <c:tx>
            <c:strRef>
              <c:f>'Growth Trend Pivot'!$D$3:$D$4</c:f>
              <c:strCache>
                <c:ptCount val="1"/>
                <c:pt idx="0">
                  <c:v>TCS</c:v>
                </c:pt>
              </c:strCache>
            </c:strRef>
          </c:tx>
          <c:spPr>
            <a:ln w="28575" cap="rnd">
              <a:solidFill>
                <a:schemeClr val="accent3"/>
              </a:solidFill>
              <a:round/>
            </a:ln>
            <a:effectLst/>
          </c:spPr>
          <c:marker>
            <c:symbol val="none"/>
          </c:marker>
          <c:cat>
            <c:strRef>
              <c:f>'Growth Trend Pivot'!$A$5:$A$11</c:f>
              <c:strCache>
                <c:ptCount val="6"/>
                <c:pt idx="0">
                  <c:v>2019</c:v>
                </c:pt>
                <c:pt idx="1">
                  <c:v>2020</c:v>
                </c:pt>
                <c:pt idx="2">
                  <c:v>2021</c:v>
                </c:pt>
                <c:pt idx="3">
                  <c:v>2022</c:v>
                </c:pt>
                <c:pt idx="4">
                  <c:v>2023</c:v>
                </c:pt>
                <c:pt idx="5">
                  <c:v>2024</c:v>
                </c:pt>
              </c:strCache>
            </c:strRef>
          </c:cat>
          <c:val>
            <c:numRef>
              <c:f>'Growth Trend Pivot'!$D$5:$D$11</c:f>
              <c:numCache>
                <c:formatCode>General</c:formatCode>
                <c:ptCount val="6"/>
                <c:pt idx="0">
                  <c:v>#N/A</c:v>
                </c:pt>
                <c:pt idx="1">
                  <c:v>7.16</c:v>
                </c:pt>
                <c:pt idx="2">
                  <c:v>4.6100000000000003</c:v>
                </c:pt>
                <c:pt idx="3">
                  <c:v>16.8</c:v>
                </c:pt>
                <c:pt idx="4">
                  <c:v>17.579999999999998</c:v>
                </c:pt>
                <c:pt idx="5">
                  <c:v>6.85</c:v>
                </c:pt>
              </c:numCache>
            </c:numRef>
          </c:val>
          <c:smooth val="0"/>
          <c:extLst>
            <c:ext xmlns:c16="http://schemas.microsoft.com/office/drawing/2014/chart" uri="{C3380CC4-5D6E-409C-BE32-E72D297353CC}">
              <c16:uniqueId val="{00000002-AEB2-4702-BA5B-AF550A880D22}"/>
            </c:ext>
          </c:extLst>
        </c:ser>
        <c:ser>
          <c:idx val="3"/>
          <c:order val="3"/>
          <c:tx>
            <c:strRef>
              <c:f>'Growth Trend Pivot'!$E$3:$E$4</c:f>
              <c:strCache>
                <c:ptCount val="1"/>
                <c:pt idx="0">
                  <c:v>Tech Mahindra</c:v>
                </c:pt>
              </c:strCache>
            </c:strRef>
          </c:tx>
          <c:spPr>
            <a:ln w="28575" cap="rnd">
              <a:solidFill>
                <a:schemeClr val="accent4"/>
              </a:solidFill>
              <a:round/>
            </a:ln>
            <a:effectLst/>
          </c:spPr>
          <c:marker>
            <c:symbol val="none"/>
          </c:marker>
          <c:cat>
            <c:strRef>
              <c:f>'Growth Trend Pivot'!$A$5:$A$11</c:f>
              <c:strCache>
                <c:ptCount val="6"/>
                <c:pt idx="0">
                  <c:v>2019</c:v>
                </c:pt>
                <c:pt idx="1">
                  <c:v>2020</c:v>
                </c:pt>
                <c:pt idx="2">
                  <c:v>2021</c:v>
                </c:pt>
                <c:pt idx="3">
                  <c:v>2022</c:v>
                </c:pt>
                <c:pt idx="4">
                  <c:v>2023</c:v>
                </c:pt>
                <c:pt idx="5">
                  <c:v>2024</c:v>
                </c:pt>
              </c:strCache>
            </c:strRef>
          </c:cat>
          <c:val>
            <c:numRef>
              <c:f>'Growth Trend Pivot'!$E$5:$E$11</c:f>
              <c:numCache>
                <c:formatCode>General</c:formatCode>
                <c:ptCount val="6"/>
                <c:pt idx="0">
                  <c:v>#N/A</c:v>
                </c:pt>
                <c:pt idx="1">
                  <c:v>6.12</c:v>
                </c:pt>
                <c:pt idx="2">
                  <c:v>2.68</c:v>
                </c:pt>
                <c:pt idx="3">
                  <c:v>17.940000000000001</c:v>
                </c:pt>
                <c:pt idx="4">
                  <c:v>19.36</c:v>
                </c:pt>
                <c:pt idx="5">
                  <c:v>-2.4300000000000002</c:v>
                </c:pt>
              </c:numCache>
            </c:numRef>
          </c:val>
          <c:smooth val="0"/>
          <c:extLst>
            <c:ext xmlns:c16="http://schemas.microsoft.com/office/drawing/2014/chart" uri="{C3380CC4-5D6E-409C-BE32-E72D297353CC}">
              <c16:uniqueId val="{00000003-AEB2-4702-BA5B-AF550A880D22}"/>
            </c:ext>
          </c:extLst>
        </c:ser>
        <c:ser>
          <c:idx val="4"/>
          <c:order val="4"/>
          <c:tx>
            <c:strRef>
              <c:f>'Growth Trend Pivot'!$F$3:$F$4</c:f>
              <c:strCache>
                <c:ptCount val="1"/>
                <c:pt idx="0">
                  <c:v>Wipro</c:v>
                </c:pt>
              </c:strCache>
            </c:strRef>
          </c:tx>
          <c:spPr>
            <a:ln w="28575" cap="rnd">
              <a:solidFill>
                <a:schemeClr val="accent5"/>
              </a:solidFill>
              <a:round/>
            </a:ln>
            <a:effectLst/>
          </c:spPr>
          <c:marker>
            <c:symbol val="none"/>
          </c:marker>
          <c:cat>
            <c:strRef>
              <c:f>'Growth Trend Pivot'!$A$5:$A$11</c:f>
              <c:strCache>
                <c:ptCount val="6"/>
                <c:pt idx="0">
                  <c:v>2019</c:v>
                </c:pt>
                <c:pt idx="1">
                  <c:v>2020</c:v>
                </c:pt>
                <c:pt idx="2">
                  <c:v>2021</c:v>
                </c:pt>
                <c:pt idx="3">
                  <c:v>2022</c:v>
                </c:pt>
                <c:pt idx="4">
                  <c:v>2023</c:v>
                </c:pt>
                <c:pt idx="5">
                  <c:v>2024</c:v>
                </c:pt>
              </c:strCache>
            </c:strRef>
          </c:cat>
          <c:val>
            <c:numRef>
              <c:f>'Growth Trend Pivot'!$F$5:$F$11</c:f>
              <c:numCache>
                <c:formatCode>General</c:formatCode>
                <c:ptCount val="6"/>
                <c:pt idx="0">
                  <c:v>#N/A</c:v>
                </c:pt>
                <c:pt idx="1">
                  <c:v>3.59</c:v>
                </c:pt>
                <c:pt idx="2">
                  <c:v>1.3</c:v>
                </c:pt>
                <c:pt idx="3">
                  <c:v>28.06</c:v>
                </c:pt>
                <c:pt idx="4">
                  <c:v>14.09</c:v>
                </c:pt>
                <c:pt idx="5">
                  <c:v>-0.8</c:v>
                </c:pt>
              </c:numCache>
            </c:numRef>
          </c:val>
          <c:smooth val="0"/>
          <c:extLst>
            <c:ext xmlns:c16="http://schemas.microsoft.com/office/drawing/2014/chart" uri="{C3380CC4-5D6E-409C-BE32-E72D297353CC}">
              <c16:uniqueId val="{00000004-AEB2-4702-BA5B-AF550A880D22}"/>
            </c:ext>
          </c:extLst>
        </c:ser>
        <c:dLbls>
          <c:showLegendKey val="0"/>
          <c:showVal val="0"/>
          <c:showCatName val="0"/>
          <c:showSerName val="0"/>
          <c:showPercent val="0"/>
          <c:showBubbleSize val="0"/>
        </c:dLbls>
        <c:smooth val="0"/>
        <c:axId val="1806107120"/>
        <c:axId val="1806115760"/>
      </c:lineChart>
      <c:catAx>
        <c:axId val="180610712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Year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6115760"/>
        <c:crosses val="autoZero"/>
        <c:auto val="1"/>
        <c:lblAlgn val="ctr"/>
        <c:lblOffset val="100"/>
        <c:noMultiLvlLbl val="0"/>
      </c:catAx>
      <c:valAx>
        <c:axId val="180611576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Avg.</a:t>
                </a:r>
                <a:r>
                  <a:rPr lang="en-IN" baseline="0"/>
                  <a:t> Revenue Growth</a:t>
                </a:r>
                <a:endParaRPr lang="en-IN"/>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610712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[SQL_Results.xlsx]Growth Trend Pivot!PivotTable2</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Operating Profit %- Year-on-year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'Growth Trend Pivot'!$B$32:$B$33</c:f>
              <c:strCache>
                <c:ptCount val="1"/>
                <c:pt idx="0">
                  <c:v>HCL Tech</c:v>
                </c:pt>
              </c:strCache>
            </c:strRef>
          </c:tx>
          <c:spPr>
            <a:ln w="28575" cap="rnd">
              <a:solidFill>
                <a:schemeClr val="accent1"/>
              </a:solidFill>
              <a:round/>
            </a:ln>
            <a:effectLst/>
          </c:spPr>
          <c:marker>
            <c:symbol val="none"/>
          </c:marker>
          <c:cat>
            <c:strRef>
              <c:f>'Growth Trend Pivot'!$A$34:$A$40</c:f>
              <c:strCache>
                <c:ptCount val="6"/>
                <c:pt idx="0">
                  <c:v>2019</c:v>
                </c:pt>
                <c:pt idx="1">
                  <c:v>2020</c:v>
                </c:pt>
                <c:pt idx="2">
                  <c:v>2021</c:v>
                </c:pt>
                <c:pt idx="3">
                  <c:v>2022</c:v>
                </c:pt>
                <c:pt idx="4">
                  <c:v>2023</c:v>
                </c:pt>
                <c:pt idx="5">
                  <c:v>2024</c:v>
                </c:pt>
              </c:strCache>
            </c:strRef>
          </c:cat>
          <c:val>
            <c:numRef>
              <c:f>'Growth Trend Pivot'!$B$34:$B$40</c:f>
              <c:numCache>
                <c:formatCode>General</c:formatCode>
                <c:ptCount val="6"/>
                <c:pt idx="0">
                  <c:v>#N/A</c:v>
                </c:pt>
                <c:pt idx="1">
                  <c:v>20.420000000000002</c:v>
                </c:pt>
                <c:pt idx="2">
                  <c:v>17.010000000000002</c:v>
                </c:pt>
                <c:pt idx="3">
                  <c:v>2.96</c:v>
                </c:pt>
                <c:pt idx="4">
                  <c:v>11.22</c:v>
                </c:pt>
                <c:pt idx="5">
                  <c:v>7.06</c:v>
                </c:pt>
              </c:numCache>
            </c:numRef>
          </c:val>
          <c:smooth val="0"/>
          <c:extLst>
            <c:ext xmlns:c16="http://schemas.microsoft.com/office/drawing/2014/chart" uri="{C3380CC4-5D6E-409C-BE32-E72D297353CC}">
              <c16:uniqueId val="{00000000-A8DD-4CA8-9137-8BF26319A352}"/>
            </c:ext>
          </c:extLst>
        </c:ser>
        <c:ser>
          <c:idx val="1"/>
          <c:order val="1"/>
          <c:tx>
            <c:strRef>
              <c:f>'Growth Trend Pivot'!$C$32:$C$33</c:f>
              <c:strCache>
                <c:ptCount val="1"/>
                <c:pt idx="0">
                  <c:v>Infosys</c:v>
                </c:pt>
              </c:strCache>
            </c:strRef>
          </c:tx>
          <c:spPr>
            <a:ln w="28575" cap="rnd">
              <a:solidFill>
                <a:schemeClr val="accent2"/>
              </a:solidFill>
              <a:round/>
            </a:ln>
            <a:effectLst/>
          </c:spPr>
          <c:marker>
            <c:symbol val="none"/>
          </c:marker>
          <c:cat>
            <c:strRef>
              <c:f>'Growth Trend Pivot'!$A$34:$A$40</c:f>
              <c:strCache>
                <c:ptCount val="6"/>
                <c:pt idx="0">
                  <c:v>2019</c:v>
                </c:pt>
                <c:pt idx="1">
                  <c:v>2020</c:v>
                </c:pt>
                <c:pt idx="2">
                  <c:v>2021</c:v>
                </c:pt>
                <c:pt idx="3">
                  <c:v>2022</c:v>
                </c:pt>
                <c:pt idx="4">
                  <c:v>2023</c:v>
                </c:pt>
                <c:pt idx="5">
                  <c:v>2024</c:v>
                </c:pt>
              </c:strCache>
            </c:strRef>
          </c:cat>
          <c:val>
            <c:numRef>
              <c:f>'Growth Trend Pivot'!$C$34:$C$40</c:f>
              <c:numCache>
                <c:formatCode>General</c:formatCode>
                <c:ptCount val="6"/>
                <c:pt idx="0">
                  <c:v>#N/A</c:v>
                </c:pt>
                <c:pt idx="1">
                  <c:v>8.59</c:v>
                </c:pt>
                <c:pt idx="2">
                  <c:v>19.95</c:v>
                </c:pt>
                <c:pt idx="3">
                  <c:v>12.43</c:v>
                </c:pt>
                <c:pt idx="4">
                  <c:v>12.05</c:v>
                </c:pt>
                <c:pt idx="5">
                  <c:v>8.73</c:v>
                </c:pt>
              </c:numCache>
            </c:numRef>
          </c:val>
          <c:smooth val="0"/>
          <c:extLst>
            <c:ext xmlns:c16="http://schemas.microsoft.com/office/drawing/2014/chart" uri="{C3380CC4-5D6E-409C-BE32-E72D297353CC}">
              <c16:uniqueId val="{00000001-A8DD-4CA8-9137-8BF26319A352}"/>
            </c:ext>
          </c:extLst>
        </c:ser>
        <c:ser>
          <c:idx val="2"/>
          <c:order val="2"/>
          <c:tx>
            <c:strRef>
              <c:f>'Growth Trend Pivot'!$D$32:$D$33</c:f>
              <c:strCache>
                <c:ptCount val="1"/>
                <c:pt idx="0">
                  <c:v>TCS</c:v>
                </c:pt>
              </c:strCache>
            </c:strRef>
          </c:tx>
          <c:spPr>
            <a:ln w="28575" cap="rnd">
              <a:solidFill>
                <a:schemeClr val="accent3"/>
              </a:solidFill>
              <a:round/>
            </a:ln>
            <a:effectLst/>
          </c:spPr>
          <c:marker>
            <c:symbol val="none"/>
          </c:marker>
          <c:cat>
            <c:strRef>
              <c:f>'Growth Trend Pivot'!$A$34:$A$40</c:f>
              <c:strCache>
                <c:ptCount val="6"/>
                <c:pt idx="0">
                  <c:v>2019</c:v>
                </c:pt>
                <c:pt idx="1">
                  <c:v>2020</c:v>
                </c:pt>
                <c:pt idx="2">
                  <c:v>2021</c:v>
                </c:pt>
                <c:pt idx="3">
                  <c:v>2022</c:v>
                </c:pt>
                <c:pt idx="4">
                  <c:v>2023</c:v>
                </c:pt>
                <c:pt idx="5">
                  <c:v>2024</c:v>
                </c:pt>
              </c:strCache>
            </c:strRef>
          </c:cat>
          <c:val>
            <c:numRef>
              <c:f>'Growth Trend Pivot'!$D$34:$D$40</c:f>
              <c:numCache>
                <c:formatCode>General</c:formatCode>
                <c:ptCount val="6"/>
                <c:pt idx="0">
                  <c:v>#N/A</c:v>
                </c:pt>
                <c:pt idx="1">
                  <c:v>6.56</c:v>
                </c:pt>
                <c:pt idx="2">
                  <c:v>3.73</c:v>
                </c:pt>
                <c:pt idx="3">
                  <c:v>17.84</c:v>
                </c:pt>
                <c:pt idx="4">
                  <c:v>9.83</c:v>
                </c:pt>
                <c:pt idx="5">
                  <c:v>8.02</c:v>
                </c:pt>
              </c:numCache>
            </c:numRef>
          </c:val>
          <c:smooth val="0"/>
          <c:extLst>
            <c:ext xmlns:c16="http://schemas.microsoft.com/office/drawing/2014/chart" uri="{C3380CC4-5D6E-409C-BE32-E72D297353CC}">
              <c16:uniqueId val="{00000002-A8DD-4CA8-9137-8BF26319A352}"/>
            </c:ext>
          </c:extLst>
        </c:ser>
        <c:ser>
          <c:idx val="3"/>
          <c:order val="3"/>
          <c:tx>
            <c:strRef>
              <c:f>'Growth Trend Pivot'!$E$32:$E$33</c:f>
              <c:strCache>
                <c:ptCount val="1"/>
                <c:pt idx="0">
                  <c:v>Tech Mahindra</c:v>
                </c:pt>
              </c:strCache>
            </c:strRef>
          </c:tx>
          <c:spPr>
            <a:ln w="28575" cap="rnd">
              <a:solidFill>
                <a:schemeClr val="accent4"/>
              </a:solidFill>
              <a:round/>
            </a:ln>
            <a:effectLst/>
          </c:spPr>
          <c:marker>
            <c:symbol val="none"/>
          </c:marker>
          <c:cat>
            <c:strRef>
              <c:f>'Growth Trend Pivot'!$A$34:$A$40</c:f>
              <c:strCache>
                <c:ptCount val="6"/>
                <c:pt idx="0">
                  <c:v>2019</c:v>
                </c:pt>
                <c:pt idx="1">
                  <c:v>2020</c:v>
                </c:pt>
                <c:pt idx="2">
                  <c:v>2021</c:v>
                </c:pt>
                <c:pt idx="3">
                  <c:v>2022</c:v>
                </c:pt>
                <c:pt idx="4">
                  <c:v>2023</c:v>
                </c:pt>
                <c:pt idx="5">
                  <c:v>2024</c:v>
                </c:pt>
              </c:strCache>
            </c:strRef>
          </c:cat>
          <c:val>
            <c:numRef>
              <c:f>'Growth Trend Pivot'!$E$34:$E$40</c:f>
              <c:numCache>
                <c:formatCode>General</c:formatCode>
                <c:ptCount val="6"/>
                <c:pt idx="0">
                  <c:v>#N/A</c:v>
                </c:pt>
                <c:pt idx="1">
                  <c:v>0.25</c:v>
                </c:pt>
                <c:pt idx="2">
                  <c:v>12.13</c:v>
                </c:pt>
                <c:pt idx="3">
                  <c:v>18.43</c:v>
                </c:pt>
                <c:pt idx="4">
                  <c:v>-4.07</c:v>
                </c:pt>
                <c:pt idx="5">
                  <c:v>-38.01</c:v>
                </c:pt>
              </c:numCache>
            </c:numRef>
          </c:val>
          <c:smooth val="0"/>
          <c:extLst>
            <c:ext xmlns:c16="http://schemas.microsoft.com/office/drawing/2014/chart" uri="{C3380CC4-5D6E-409C-BE32-E72D297353CC}">
              <c16:uniqueId val="{00000003-A8DD-4CA8-9137-8BF26319A352}"/>
            </c:ext>
          </c:extLst>
        </c:ser>
        <c:ser>
          <c:idx val="4"/>
          <c:order val="4"/>
          <c:tx>
            <c:strRef>
              <c:f>'Growth Trend Pivot'!$F$32:$F$33</c:f>
              <c:strCache>
                <c:ptCount val="1"/>
                <c:pt idx="0">
                  <c:v>Wipro</c:v>
                </c:pt>
              </c:strCache>
            </c:strRef>
          </c:tx>
          <c:spPr>
            <a:ln w="28575" cap="rnd">
              <a:solidFill>
                <a:schemeClr val="accent5"/>
              </a:solidFill>
              <a:round/>
            </a:ln>
            <a:effectLst/>
          </c:spPr>
          <c:marker>
            <c:symbol val="none"/>
          </c:marker>
          <c:cat>
            <c:strRef>
              <c:f>'Growth Trend Pivot'!$A$34:$A$40</c:f>
              <c:strCache>
                <c:ptCount val="6"/>
                <c:pt idx="0">
                  <c:v>2019</c:v>
                </c:pt>
                <c:pt idx="1">
                  <c:v>2020</c:v>
                </c:pt>
                <c:pt idx="2">
                  <c:v>2021</c:v>
                </c:pt>
                <c:pt idx="3">
                  <c:v>2022</c:v>
                </c:pt>
                <c:pt idx="4">
                  <c:v>2023</c:v>
                </c:pt>
                <c:pt idx="5">
                  <c:v>2024</c:v>
                </c:pt>
              </c:strCache>
            </c:strRef>
          </c:cat>
          <c:val>
            <c:numRef>
              <c:f>'Growth Trend Pivot'!$F$34:$F$40</c:f>
              <c:numCache>
                <c:formatCode>General</c:formatCode>
                <c:ptCount val="6"/>
                <c:pt idx="1">
                  <c:v>5.69</c:v>
                </c:pt>
                <c:pt idx="2">
                  <c:v>13.87</c:v>
                </c:pt>
                <c:pt idx="3">
                  <c:v>9.5500000000000007</c:v>
                </c:pt>
                <c:pt idx="4">
                  <c:v>1.92</c:v>
                </c:pt>
                <c:pt idx="5">
                  <c:v>1.1499999999999999</c:v>
                </c:pt>
              </c:numCache>
            </c:numRef>
          </c:val>
          <c:smooth val="0"/>
          <c:extLst>
            <c:ext xmlns:c16="http://schemas.microsoft.com/office/drawing/2014/chart" uri="{C3380CC4-5D6E-409C-BE32-E72D297353CC}">
              <c16:uniqueId val="{00000004-A8DD-4CA8-9137-8BF26319A352}"/>
            </c:ext>
          </c:extLst>
        </c:ser>
        <c:dLbls>
          <c:showLegendKey val="0"/>
          <c:showVal val="0"/>
          <c:showCatName val="0"/>
          <c:showSerName val="0"/>
          <c:showPercent val="0"/>
          <c:showBubbleSize val="0"/>
        </c:dLbls>
        <c:smooth val="0"/>
        <c:axId val="1576934144"/>
        <c:axId val="1576935584"/>
      </c:lineChart>
      <c:catAx>
        <c:axId val="157693414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Year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76935584"/>
        <c:crosses val="autoZero"/>
        <c:auto val="1"/>
        <c:lblAlgn val="ctr"/>
        <c:lblOffset val="100"/>
        <c:noMultiLvlLbl val="0"/>
      </c:catAx>
      <c:valAx>
        <c:axId val="157693558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Avg.</a:t>
                </a:r>
                <a:r>
                  <a:rPr lang="en-IN" baseline="0"/>
                  <a:t> Operating Profit</a:t>
                </a:r>
                <a:endParaRPr lang="en-IN"/>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769341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[SQL_Results.xlsx]Market Position Pivot!PivotTable3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Revenue Market Share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'Market Position Pivot'!$B$3:$B$4</c:f>
              <c:strCache>
                <c:ptCount val="1"/>
                <c:pt idx="0">
                  <c:v>HCL Tech</c:v>
                </c:pt>
              </c:strCache>
            </c:strRef>
          </c:tx>
          <c:spPr>
            <a:solidFill>
              <a:schemeClr val="accent1"/>
            </a:solidFill>
            <a:ln>
              <a:noFill/>
            </a:ln>
            <a:effectLst/>
          </c:spPr>
          <c:invertIfNegative val="0"/>
          <c:cat>
            <c:strRef>
              <c:f>'Market Position Pivot'!$A$5:$A$11</c:f>
              <c:strCache>
                <c:ptCount val="6"/>
                <c:pt idx="0">
                  <c:v>2019</c:v>
                </c:pt>
                <c:pt idx="1">
                  <c:v>2020</c:v>
                </c:pt>
                <c:pt idx="2">
                  <c:v>2021</c:v>
                </c:pt>
                <c:pt idx="3">
                  <c:v>2022</c:v>
                </c:pt>
                <c:pt idx="4">
                  <c:v>2023</c:v>
                </c:pt>
                <c:pt idx="5">
                  <c:v>2024</c:v>
                </c:pt>
              </c:strCache>
            </c:strRef>
          </c:cat>
          <c:val>
            <c:numRef>
              <c:f>'Market Position Pivot'!$B$5:$B$11</c:f>
              <c:numCache>
                <c:formatCode>General</c:formatCode>
                <c:ptCount val="6"/>
                <c:pt idx="0">
                  <c:v>15.76</c:v>
                </c:pt>
                <c:pt idx="1">
                  <c:v>16.97</c:v>
                </c:pt>
                <c:pt idx="2">
                  <c:v>17.14</c:v>
                </c:pt>
                <c:pt idx="3">
                  <c:v>16.38</c:v>
                </c:pt>
                <c:pt idx="4">
                  <c:v>16.43</c:v>
                </c:pt>
                <c:pt idx="5">
                  <c:v>17.010000000000002</c:v>
                </c:pt>
              </c:numCache>
            </c:numRef>
          </c:val>
          <c:extLst>
            <c:ext xmlns:c16="http://schemas.microsoft.com/office/drawing/2014/chart" uri="{C3380CC4-5D6E-409C-BE32-E72D297353CC}">
              <c16:uniqueId val="{00000000-7BD1-434B-BB20-99F7D184AB3F}"/>
            </c:ext>
          </c:extLst>
        </c:ser>
        <c:ser>
          <c:idx val="1"/>
          <c:order val="1"/>
          <c:tx>
            <c:strRef>
              <c:f>'Market Position Pivot'!$C$3:$C$4</c:f>
              <c:strCache>
                <c:ptCount val="1"/>
                <c:pt idx="0">
                  <c:v>Infosys</c:v>
                </c:pt>
              </c:strCache>
            </c:strRef>
          </c:tx>
          <c:spPr>
            <a:solidFill>
              <a:schemeClr val="accent2"/>
            </a:solidFill>
            <a:ln>
              <a:noFill/>
            </a:ln>
            <a:effectLst/>
          </c:spPr>
          <c:invertIfNegative val="0"/>
          <c:cat>
            <c:strRef>
              <c:f>'Market Position Pivot'!$A$5:$A$11</c:f>
              <c:strCache>
                <c:ptCount val="6"/>
                <c:pt idx="0">
                  <c:v>2019</c:v>
                </c:pt>
                <c:pt idx="1">
                  <c:v>2020</c:v>
                </c:pt>
                <c:pt idx="2">
                  <c:v>2021</c:v>
                </c:pt>
                <c:pt idx="3">
                  <c:v>2022</c:v>
                </c:pt>
                <c:pt idx="4">
                  <c:v>2023</c:v>
                </c:pt>
                <c:pt idx="5">
                  <c:v>2024</c:v>
                </c:pt>
              </c:strCache>
            </c:strRef>
          </c:cat>
          <c:val>
            <c:numRef>
              <c:f>'Market Position Pivot'!$C$5:$C$11</c:f>
              <c:numCache>
                <c:formatCode>General</c:formatCode>
                <c:ptCount val="6"/>
                <c:pt idx="0">
                  <c:v>21.57</c:v>
                </c:pt>
                <c:pt idx="1">
                  <c:v>21.8</c:v>
                </c:pt>
                <c:pt idx="2">
                  <c:v>22.84</c:v>
                </c:pt>
                <c:pt idx="3">
                  <c:v>23.26</c:v>
                </c:pt>
                <c:pt idx="4">
                  <c:v>23.77</c:v>
                </c:pt>
                <c:pt idx="5">
                  <c:v>23.78</c:v>
                </c:pt>
              </c:numCache>
            </c:numRef>
          </c:val>
          <c:extLst>
            <c:ext xmlns:c16="http://schemas.microsoft.com/office/drawing/2014/chart" uri="{C3380CC4-5D6E-409C-BE32-E72D297353CC}">
              <c16:uniqueId val="{00000001-7BD1-434B-BB20-99F7D184AB3F}"/>
            </c:ext>
          </c:extLst>
        </c:ser>
        <c:ser>
          <c:idx val="2"/>
          <c:order val="2"/>
          <c:tx>
            <c:strRef>
              <c:f>'Market Position Pivot'!$D$3:$D$4</c:f>
              <c:strCache>
                <c:ptCount val="1"/>
                <c:pt idx="0">
                  <c:v>TCS</c:v>
                </c:pt>
              </c:strCache>
            </c:strRef>
          </c:tx>
          <c:spPr>
            <a:solidFill>
              <a:schemeClr val="accent3"/>
            </a:solidFill>
            <a:ln>
              <a:noFill/>
            </a:ln>
            <a:effectLst/>
          </c:spPr>
          <c:invertIfNegative val="0"/>
          <c:cat>
            <c:strRef>
              <c:f>'Market Position Pivot'!$A$5:$A$11</c:f>
              <c:strCache>
                <c:ptCount val="6"/>
                <c:pt idx="0">
                  <c:v>2019</c:v>
                </c:pt>
                <c:pt idx="1">
                  <c:v>2020</c:v>
                </c:pt>
                <c:pt idx="2">
                  <c:v>2021</c:v>
                </c:pt>
                <c:pt idx="3">
                  <c:v>2022</c:v>
                </c:pt>
                <c:pt idx="4">
                  <c:v>2023</c:v>
                </c:pt>
                <c:pt idx="5">
                  <c:v>2024</c:v>
                </c:pt>
              </c:strCache>
            </c:strRef>
          </c:cat>
          <c:val>
            <c:numRef>
              <c:f>'Market Position Pivot'!$D$5:$D$11</c:f>
              <c:numCache>
                <c:formatCode>General</c:formatCode>
                <c:ptCount val="6"/>
                <c:pt idx="0">
                  <c:v>38.21</c:v>
                </c:pt>
                <c:pt idx="1">
                  <c:v>37.69</c:v>
                </c:pt>
                <c:pt idx="2">
                  <c:v>37.33</c:v>
                </c:pt>
                <c:pt idx="3">
                  <c:v>36.659999999999997</c:v>
                </c:pt>
                <c:pt idx="4">
                  <c:v>36.51</c:v>
                </c:pt>
                <c:pt idx="5">
                  <c:v>37.28</c:v>
                </c:pt>
              </c:numCache>
            </c:numRef>
          </c:val>
          <c:extLst>
            <c:ext xmlns:c16="http://schemas.microsoft.com/office/drawing/2014/chart" uri="{C3380CC4-5D6E-409C-BE32-E72D297353CC}">
              <c16:uniqueId val="{00000002-7BD1-434B-BB20-99F7D184AB3F}"/>
            </c:ext>
          </c:extLst>
        </c:ser>
        <c:ser>
          <c:idx val="3"/>
          <c:order val="3"/>
          <c:tx>
            <c:strRef>
              <c:f>'Market Position Pivot'!$E$3:$E$4</c:f>
              <c:strCache>
                <c:ptCount val="1"/>
                <c:pt idx="0">
                  <c:v>Tech Mahindra</c:v>
                </c:pt>
              </c:strCache>
            </c:strRef>
          </c:tx>
          <c:spPr>
            <a:solidFill>
              <a:schemeClr val="accent4"/>
            </a:solidFill>
            <a:ln>
              <a:noFill/>
            </a:ln>
            <a:effectLst/>
          </c:spPr>
          <c:invertIfNegative val="0"/>
          <c:cat>
            <c:strRef>
              <c:f>'Market Position Pivot'!$A$5:$A$11</c:f>
              <c:strCache>
                <c:ptCount val="6"/>
                <c:pt idx="0">
                  <c:v>2019</c:v>
                </c:pt>
                <c:pt idx="1">
                  <c:v>2020</c:v>
                </c:pt>
                <c:pt idx="2">
                  <c:v>2021</c:v>
                </c:pt>
                <c:pt idx="3">
                  <c:v>2022</c:v>
                </c:pt>
                <c:pt idx="4">
                  <c:v>2023</c:v>
                </c:pt>
                <c:pt idx="5">
                  <c:v>2024</c:v>
                </c:pt>
              </c:strCache>
            </c:strRef>
          </c:cat>
          <c:val>
            <c:numRef>
              <c:f>'Market Position Pivot'!$E$5:$E$11</c:f>
              <c:numCache>
                <c:formatCode>General</c:formatCode>
                <c:ptCount val="6"/>
                <c:pt idx="0">
                  <c:v>9.06</c:v>
                </c:pt>
                <c:pt idx="1">
                  <c:v>8.85</c:v>
                </c:pt>
                <c:pt idx="2">
                  <c:v>8.61</c:v>
                </c:pt>
                <c:pt idx="3">
                  <c:v>8.5399999999999991</c:v>
                </c:pt>
                <c:pt idx="4">
                  <c:v>8.6300000000000008</c:v>
                </c:pt>
                <c:pt idx="5">
                  <c:v>8.0500000000000007</c:v>
                </c:pt>
              </c:numCache>
            </c:numRef>
          </c:val>
          <c:extLst>
            <c:ext xmlns:c16="http://schemas.microsoft.com/office/drawing/2014/chart" uri="{C3380CC4-5D6E-409C-BE32-E72D297353CC}">
              <c16:uniqueId val="{00000003-7BD1-434B-BB20-99F7D184AB3F}"/>
            </c:ext>
          </c:extLst>
        </c:ser>
        <c:ser>
          <c:idx val="4"/>
          <c:order val="4"/>
          <c:tx>
            <c:strRef>
              <c:f>'Market Position Pivot'!$F$3:$F$4</c:f>
              <c:strCache>
                <c:ptCount val="1"/>
                <c:pt idx="0">
                  <c:v>Wipro</c:v>
                </c:pt>
              </c:strCache>
            </c:strRef>
          </c:tx>
          <c:spPr>
            <a:solidFill>
              <a:schemeClr val="accent5"/>
            </a:solidFill>
            <a:ln>
              <a:noFill/>
            </a:ln>
            <a:effectLst/>
          </c:spPr>
          <c:invertIfNegative val="0"/>
          <c:cat>
            <c:strRef>
              <c:f>'Market Position Pivot'!$A$5:$A$11</c:f>
              <c:strCache>
                <c:ptCount val="6"/>
                <c:pt idx="0">
                  <c:v>2019</c:v>
                </c:pt>
                <c:pt idx="1">
                  <c:v>2020</c:v>
                </c:pt>
                <c:pt idx="2">
                  <c:v>2021</c:v>
                </c:pt>
                <c:pt idx="3">
                  <c:v>2022</c:v>
                </c:pt>
                <c:pt idx="4">
                  <c:v>2023</c:v>
                </c:pt>
                <c:pt idx="5">
                  <c:v>2024</c:v>
                </c:pt>
              </c:strCache>
            </c:strRef>
          </c:cat>
          <c:val>
            <c:numRef>
              <c:f>'Market Position Pivot'!$F$5:$F$11</c:f>
              <c:numCache>
                <c:formatCode>General</c:formatCode>
                <c:ptCount val="6"/>
                <c:pt idx="0">
                  <c:v>15.4</c:v>
                </c:pt>
                <c:pt idx="1">
                  <c:v>14.68</c:v>
                </c:pt>
                <c:pt idx="2">
                  <c:v>14.08</c:v>
                </c:pt>
                <c:pt idx="3">
                  <c:v>15.16</c:v>
                </c:pt>
                <c:pt idx="4">
                  <c:v>14.65</c:v>
                </c:pt>
                <c:pt idx="5">
                  <c:v>13.89</c:v>
                </c:pt>
              </c:numCache>
            </c:numRef>
          </c:val>
          <c:extLst>
            <c:ext xmlns:c16="http://schemas.microsoft.com/office/drawing/2014/chart" uri="{C3380CC4-5D6E-409C-BE32-E72D297353CC}">
              <c16:uniqueId val="{00000004-7BD1-434B-BB20-99F7D184AB3F}"/>
            </c:ext>
          </c:extLst>
        </c:ser>
        <c:dLbls>
          <c:showLegendKey val="0"/>
          <c:showVal val="0"/>
          <c:showCatName val="0"/>
          <c:showSerName val="0"/>
          <c:showPercent val="0"/>
          <c:showBubbleSize val="0"/>
        </c:dLbls>
        <c:gapWidth val="150"/>
        <c:overlap val="100"/>
        <c:axId val="1480970960"/>
        <c:axId val="1480973360"/>
      </c:barChart>
      <c:catAx>
        <c:axId val="148097096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Years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80973360"/>
        <c:crosses val="autoZero"/>
        <c:auto val="1"/>
        <c:lblAlgn val="ctr"/>
        <c:lblOffset val="100"/>
        <c:noMultiLvlLbl val="0"/>
      </c:catAx>
      <c:valAx>
        <c:axId val="148097336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Revenue</a:t>
                </a:r>
                <a:r>
                  <a:rPr lang="en-IN" baseline="0"/>
                  <a:t> Mkt Share</a:t>
                </a:r>
                <a:endParaRPr lang="en-IN"/>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8097096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[SQL_Results.xlsx]Liquidity Pivot Table!PivotTable4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Cash Ratio over the Years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'Liquidity Pivot Table'!$B$3:$B$4</c:f>
              <c:strCache>
                <c:ptCount val="1"/>
                <c:pt idx="0">
                  <c:v>HCL Tech</c:v>
                </c:pt>
              </c:strCache>
            </c:strRef>
          </c:tx>
          <c:spPr>
            <a:ln w="28575" cap="rnd">
              <a:solidFill>
                <a:schemeClr val="accent1"/>
              </a:solidFill>
              <a:round/>
            </a:ln>
            <a:effectLst/>
          </c:spPr>
          <c:marker>
            <c:symbol val="none"/>
          </c:marker>
          <c:cat>
            <c:strRef>
              <c:f>'Liquidity Pivot Table'!$A$5:$A$11</c:f>
              <c:strCache>
                <c:ptCount val="6"/>
                <c:pt idx="0">
                  <c:v>2019</c:v>
                </c:pt>
                <c:pt idx="1">
                  <c:v>2020</c:v>
                </c:pt>
                <c:pt idx="2">
                  <c:v>2021</c:v>
                </c:pt>
                <c:pt idx="3">
                  <c:v>2022</c:v>
                </c:pt>
                <c:pt idx="4">
                  <c:v>2023</c:v>
                </c:pt>
                <c:pt idx="5">
                  <c:v>2024</c:v>
                </c:pt>
              </c:strCache>
            </c:strRef>
          </c:cat>
          <c:val>
            <c:numRef>
              <c:f>'Liquidity Pivot Table'!$B$5:$B$11</c:f>
              <c:numCache>
                <c:formatCode>General</c:formatCode>
                <c:ptCount val="6"/>
                <c:pt idx="0">
                  <c:v>0.13</c:v>
                </c:pt>
                <c:pt idx="1">
                  <c:v>0.06</c:v>
                </c:pt>
                <c:pt idx="2">
                  <c:v>0.1</c:v>
                </c:pt>
                <c:pt idx="3">
                  <c:v>0.14000000000000001</c:v>
                </c:pt>
                <c:pt idx="4">
                  <c:v>0.16</c:v>
                </c:pt>
                <c:pt idx="5">
                  <c:v>0.2</c:v>
                </c:pt>
              </c:numCache>
            </c:numRef>
          </c:val>
          <c:smooth val="0"/>
          <c:extLst>
            <c:ext xmlns:c16="http://schemas.microsoft.com/office/drawing/2014/chart" uri="{C3380CC4-5D6E-409C-BE32-E72D297353CC}">
              <c16:uniqueId val="{00000000-08AB-46CB-A774-E9C8F108D5E8}"/>
            </c:ext>
          </c:extLst>
        </c:ser>
        <c:ser>
          <c:idx val="1"/>
          <c:order val="1"/>
          <c:tx>
            <c:strRef>
              <c:f>'Liquidity Pivot Table'!$C$3:$C$4</c:f>
              <c:strCache>
                <c:ptCount val="1"/>
                <c:pt idx="0">
                  <c:v>Infosys</c:v>
                </c:pt>
              </c:strCache>
            </c:strRef>
          </c:tx>
          <c:spPr>
            <a:ln w="28575" cap="rnd">
              <a:solidFill>
                <a:schemeClr val="accent2"/>
              </a:solidFill>
              <a:round/>
            </a:ln>
            <a:effectLst/>
          </c:spPr>
          <c:marker>
            <c:symbol val="none"/>
          </c:marker>
          <c:cat>
            <c:strRef>
              <c:f>'Liquidity Pivot Table'!$A$5:$A$11</c:f>
              <c:strCache>
                <c:ptCount val="6"/>
                <c:pt idx="0">
                  <c:v>2019</c:v>
                </c:pt>
                <c:pt idx="1">
                  <c:v>2020</c:v>
                </c:pt>
                <c:pt idx="2">
                  <c:v>2021</c:v>
                </c:pt>
                <c:pt idx="3">
                  <c:v>2022</c:v>
                </c:pt>
                <c:pt idx="4">
                  <c:v>2023</c:v>
                </c:pt>
                <c:pt idx="5">
                  <c:v>2024</c:v>
                </c:pt>
              </c:strCache>
            </c:strRef>
          </c:cat>
          <c:val>
            <c:numRef>
              <c:f>'Liquidity Pivot Table'!$C$5:$C$11</c:f>
              <c:numCache>
                <c:formatCode>General</c:formatCode>
                <c:ptCount val="6"/>
                <c:pt idx="0">
                  <c:v>0.23</c:v>
                </c:pt>
                <c:pt idx="1">
                  <c:v>0.2</c:v>
                </c:pt>
                <c:pt idx="2">
                  <c:v>0.23</c:v>
                </c:pt>
                <c:pt idx="3">
                  <c:v>0.15</c:v>
                </c:pt>
                <c:pt idx="4">
                  <c:v>0.1</c:v>
                </c:pt>
                <c:pt idx="5">
                  <c:v>0.11</c:v>
                </c:pt>
              </c:numCache>
            </c:numRef>
          </c:val>
          <c:smooth val="0"/>
          <c:extLst>
            <c:ext xmlns:c16="http://schemas.microsoft.com/office/drawing/2014/chart" uri="{C3380CC4-5D6E-409C-BE32-E72D297353CC}">
              <c16:uniqueId val="{00000001-08AB-46CB-A774-E9C8F108D5E8}"/>
            </c:ext>
          </c:extLst>
        </c:ser>
        <c:ser>
          <c:idx val="2"/>
          <c:order val="2"/>
          <c:tx>
            <c:strRef>
              <c:f>'Liquidity Pivot Table'!$D$3:$D$4</c:f>
              <c:strCache>
                <c:ptCount val="1"/>
                <c:pt idx="0">
                  <c:v>TCS</c:v>
                </c:pt>
              </c:strCache>
            </c:strRef>
          </c:tx>
          <c:spPr>
            <a:ln w="28575" cap="rnd">
              <a:solidFill>
                <a:schemeClr val="accent3"/>
              </a:solidFill>
              <a:round/>
            </a:ln>
            <a:effectLst/>
          </c:spPr>
          <c:marker>
            <c:symbol val="none"/>
          </c:marker>
          <c:cat>
            <c:strRef>
              <c:f>'Liquidity Pivot Table'!$A$5:$A$11</c:f>
              <c:strCache>
                <c:ptCount val="6"/>
                <c:pt idx="0">
                  <c:v>2019</c:v>
                </c:pt>
                <c:pt idx="1">
                  <c:v>2020</c:v>
                </c:pt>
                <c:pt idx="2">
                  <c:v>2021</c:v>
                </c:pt>
                <c:pt idx="3">
                  <c:v>2022</c:v>
                </c:pt>
                <c:pt idx="4">
                  <c:v>2023</c:v>
                </c:pt>
                <c:pt idx="5">
                  <c:v>2024</c:v>
                </c:pt>
              </c:strCache>
            </c:strRef>
          </c:cat>
          <c:val>
            <c:numRef>
              <c:f>'Liquidity Pivot Table'!$D$5:$D$11</c:f>
              <c:numCache>
                <c:formatCode>General</c:formatCode>
                <c:ptCount val="6"/>
                <c:pt idx="0">
                  <c:v>0.11</c:v>
                </c:pt>
                <c:pt idx="1">
                  <c:v>0.08</c:v>
                </c:pt>
                <c:pt idx="2">
                  <c:v>7.0000000000000007E-2</c:v>
                </c:pt>
                <c:pt idx="3">
                  <c:v>0.13</c:v>
                </c:pt>
                <c:pt idx="4">
                  <c:v>0.08</c:v>
                </c:pt>
                <c:pt idx="5">
                  <c:v>0.09</c:v>
                </c:pt>
              </c:numCache>
            </c:numRef>
          </c:val>
          <c:smooth val="0"/>
          <c:extLst>
            <c:ext xmlns:c16="http://schemas.microsoft.com/office/drawing/2014/chart" uri="{C3380CC4-5D6E-409C-BE32-E72D297353CC}">
              <c16:uniqueId val="{00000002-08AB-46CB-A774-E9C8F108D5E8}"/>
            </c:ext>
          </c:extLst>
        </c:ser>
        <c:ser>
          <c:idx val="3"/>
          <c:order val="3"/>
          <c:tx>
            <c:strRef>
              <c:f>'Liquidity Pivot Table'!$E$3:$E$4</c:f>
              <c:strCache>
                <c:ptCount val="1"/>
                <c:pt idx="0">
                  <c:v>Tech Mahindra</c:v>
                </c:pt>
              </c:strCache>
            </c:strRef>
          </c:tx>
          <c:spPr>
            <a:ln w="28575" cap="rnd">
              <a:solidFill>
                <a:schemeClr val="accent4"/>
              </a:solidFill>
              <a:round/>
            </a:ln>
            <a:effectLst/>
          </c:spPr>
          <c:marker>
            <c:symbol val="none"/>
          </c:marker>
          <c:cat>
            <c:strRef>
              <c:f>'Liquidity Pivot Table'!$A$5:$A$11</c:f>
              <c:strCache>
                <c:ptCount val="6"/>
                <c:pt idx="0">
                  <c:v>2019</c:v>
                </c:pt>
                <c:pt idx="1">
                  <c:v>2020</c:v>
                </c:pt>
                <c:pt idx="2">
                  <c:v>2021</c:v>
                </c:pt>
                <c:pt idx="3">
                  <c:v>2022</c:v>
                </c:pt>
                <c:pt idx="4">
                  <c:v>2023</c:v>
                </c:pt>
                <c:pt idx="5">
                  <c:v>2024</c:v>
                </c:pt>
              </c:strCache>
            </c:strRef>
          </c:cat>
          <c:val>
            <c:numRef>
              <c:f>'Liquidity Pivot Table'!$E$5:$E$11</c:f>
              <c:numCache>
                <c:formatCode>General</c:formatCode>
                <c:ptCount val="6"/>
                <c:pt idx="0">
                  <c:v>7.0000000000000007E-2</c:v>
                </c:pt>
                <c:pt idx="1">
                  <c:v>0.08</c:v>
                </c:pt>
                <c:pt idx="2">
                  <c:v>7.0000000000000007E-2</c:v>
                </c:pt>
                <c:pt idx="3">
                  <c:v>0.09</c:v>
                </c:pt>
                <c:pt idx="4">
                  <c:v>0.09</c:v>
                </c:pt>
                <c:pt idx="5">
                  <c:v>0.11</c:v>
                </c:pt>
              </c:numCache>
            </c:numRef>
          </c:val>
          <c:smooth val="0"/>
          <c:extLst>
            <c:ext xmlns:c16="http://schemas.microsoft.com/office/drawing/2014/chart" uri="{C3380CC4-5D6E-409C-BE32-E72D297353CC}">
              <c16:uniqueId val="{00000003-08AB-46CB-A774-E9C8F108D5E8}"/>
            </c:ext>
          </c:extLst>
        </c:ser>
        <c:ser>
          <c:idx val="4"/>
          <c:order val="4"/>
          <c:tx>
            <c:strRef>
              <c:f>'Liquidity Pivot Table'!$F$3:$F$4</c:f>
              <c:strCache>
                <c:ptCount val="1"/>
                <c:pt idx="0">
                  <c:v>Wipro</c:v>
                </c:pt>
              </c:strCache>
            </c:strRef>
          </c:tx>
          <c:spPr>
            <a:ln w="28575" cap="rnd">
              <a:solidFill>
                <a:schemeClr val="accent5"/>
              </a:solidFill>
              <a:round/>
            </a:ln>
            <a:effectLst/>
          </c:spPr>
          <c:marker>
            <c:symbol val="none"/>
          </c:marker>
          <c:cat>
            <c:strRef>
              <c:f>'Liquidity Pivot Table'!$A$5:$A$11</c:f>
              <c:strCache>
                <c:ptCount val="6"/>
                <c:pt idx="0">
                  <c:v>2019</c:v>
                </c:pt>
                <c:pt idx="1">
                  <c:v>2020</c:v>
                </c:pt>
                <c:pt idx="2">
                  <c:v>2021</c:v>
                </c:pt>
                <c:pt idx="3">
                  <c:v>2022</c:v>
                </c:pt>
                <c:pt idx="4">
                  <c:v>2023</c:v>
                </c:pt>
                <c:pt idx="5">
                  <c:v>2024</c:v>
                </c:pt>
              </c:strCache>
            </c:strRef>
          </c:cat>
          <c:val>
            <c:numRef>
              <c:f>'Liquidity Pivot Table'!$F$5:$F$11</c:f>
              <c:numCache>
                <c:formatCode>General</c:formatCode>
                <c:ptCount val="6"/>
                <c:pt idx="0">
                  <c:v>0.19</c:v>
                </c:pt>
                <c:pt idx="1">
                  <c:v>0.18</c:v>
                </c:pt>
                <c:pt idx="2">
                  <c:v>0.21</c:v>
                </c:pt>
                <c:pt idx="3">
                  <c:v>0.1</c:v>
                </c:pt>
                <c:pt idx="4">
                  <c:v>0.08</c:v>
                </c:pt>
                <c:pt idx="5">
                  <c:v>0.08</c:v>
                </c:pt>
              </c:numCache>
            </c:numRef>
          </c:val>
          <c:smooth val="0"/>
          <c:extLst>
            <c:ext xmlns:c16="http://schemas.microsoft.com/office/drawing/2014/chart" uri="{C3380CC4-5D6E-409C-BE32-E72D297353CC}">
              <c16:uniqueId val="{00000004-08AB-46CB-A774-E9C8F108D5E8}"/>
            </c:ext>
          </c:extLst>
        </c:ser>
        <c:dLbls>
          <c:showLegendKey val="0"/>
          <c:showVal val="0"/>
          <c:showCatName val="0"/>
          <c:showSerName val="0"/>
          <c:showPercent val="0"/>
          <c:showBubbleSize val="0"/>
        </c:dLbls>
        <c:smooth val="0"/>
        <c:axId val="1369860560"/>
        <c:axId val="1369861040"/>
      </c:lineChart>
      <c:catAx>
        <c:axId val="136986056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Years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69861040"/>
        <c:crosses val="autoZero"/>
        <c:auto val="1"/>
        <c:lblAlgn val="ctr"/>
        <c:lblOffset val="100"/>
        <c:noMultiLvlLbl val="0"/>
      </c:catAx>
      <c:valAx>
        <c:axId val="136986104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Cash</a:t>
                </a:r>
                <a:r>
                  <a:rPr lang="en-IN" baseline="0"/>
                  <a:t> Ratio</a:t>
                </a:r>
                <a:endParaRPr lang="en-IN"/>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6986056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[SQL_Results.xlsx]Growth Trend Pivot!PivotTable1</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Revenue Growth %- Year-On-Year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'Growth Trend Pivot'!$B$3:$B$4</c:f>
              <c:strCache>
                <c:ptCount val="1"/>
                <c:pt idx="0">
                  <c:v>HCL Tech</c:v>
                </c:pt>
              </c:strCache>
            </c:strRef>
          </c:tx>
          <c:spPr>
            <a:ln w="28575" cap="rnd">
              <a:solidFill>
                <a:schemeClr val="accent1"/>
              </a:solidFill>
              <a:round/>
            </a:ln>
            <a:effectLst/>
          </c:spPr>
          <c:marker>
            <c:symbol val="none"/>
          </c:marker>
          <c:cat>
            <c:strRef>
              <c:f>'Growth Trend Pivot'!$A$5:$A$11</c:f>
              <c:strCache>
                <c:ptCount val="6"/>
                <c:pt idx="0">
                  <c:v>2019</c:v>
                </c:pt>
                <c:pt idx="1">
                  <c:v>2020</c:v>
                </c:pt>
                <c:pt idx="2">
                  <c:v>2021</c:v>
                </c:pt>
                <c:pt idx="3">
                  <c:v>2022</c:v>
                </c:pt>
                <c:pt idx="4">
                  <c:v>2023</c:v>
                </c:pt>
                <c:pt idx="5">
                  <c:v>2024</c:v>
                </c:pt>
              </c:strCache>
            </c:strRef>
          </c:cat>
          <c:val>
            <c:numRef>
              <c:f>'Growth Trend Pivot'!$B$5:$B$11</c:f>
              <c:numCache>
                <c:formatCode>General</c:formatCode>
                <c:ptCount val="6"/>
                <c:pt idx="0">
                  <c:v>#N/A</c:v>
                </c:pt>
                <c:pt idx="1">
                  <c:v>16.96</c:v>
                </c:pt>
                <c:pt idx="2">
                  <c:v>6.65</c:v>
                </c:pt>
                <c:pt idx="3">
                  <c:v>13.63</c:v>
                </c:pt>
                <c:pt idx="4">
                  <c:v>18.45</c:v>
                </c:pt>
                <c:pt idx="5">
                  <c:v>8.34</c:v>
                </c:pt>
              </c:numCache>
            </c:numRef>
          </c:val>
          <c:smooth val="0"/>
          <c:extLst>
            <c:ext xmlns:c16="http://schemas.microsoft.com/office/drawing/2014/chart" uri="{C3380CC4-5D6E-409C-BE32-E72D297353CC}">
              <c16:uniqueId val="{00000000-C94D-4677-9F83-6E9FF051ABAE}"/>
            </c:ext>
          </c:extLst>
        </c:ser>
        <c:ser>
          <c:idx val="1"/>
          <c:order val="1"/>
          <c:tx>
            <c:strRef>
              <c:f>'Growth Trend Pivot'!$C$3:$C$4</c:f>
              <c:strCache>
                <c:ptCount val="1"/>
                <c:pt idx="0">
                  <c:v>Infosys</c:v>
                </c:pt>
              </c:strCache>
            </c:strRef>
          </c:tx>
          <c:spPr>
            <a:ln w="28575" cap="rnd">
              <a:solidFill>
                <a:schemeClr val="accent2"/>
              </a:solidFill>
              <a:round/>
            </a:ln>
            <a:effectLst/>
          </c:spPr>
          <c:marker>
            <c:symbol val="none"/>
          </c:marker>
          <c:cat>
            <c:strRef>
              <c:f>'Growth Trend Pivot'!$A$5:$A$11</c:f>
              <c:strCache>
                <c:ptCount val="6"/>
                <c:pt idx="0">
                  <c:v>2019</c:v>
                </c:pt>
                <c:pt idx="1">
                  <c:v>2020</c:v>
                </c:pt>
                <c:pt idx="2">
                  <c:v>2021</c:v>
                </c:pt>
                <c:pt idx="3">
                  <c:v>2022</c:v>
                </c:pt>
                <c:pt idx="4">
                  <c:v>2023</c:v>
                </c:pt>
                <c:pt idx="5">
                  <c:v>2024</c:v>
                </c:pt>
              </c:strCache>
            </c:strRef>
          </c:cat>
          <c:val>
            <c:numRef>
              <c:f>'Growth Trend Pivot'!$C$5:$C$11</c:f>
              <c:numCache>
                <c:formatCode>General</c:formatCode>
                <c:ptCount val="6"/>
                <c:pt idx="0">
                  <c:v>#N/A</c:v>
                </c:pt>
                <c:pt idx="1">
                  <c:v>9.82</c:v>
                </c:pt>
                <c:pt idx="2">
                  <c:v>10.66</c:v>
                </c:pt>
                <c:pt idx="3">
                  <c:v>21.07</c:v>
                </c:pt>
                <c:pt idx="4">
                  <c:v>20.66</c:v>
                </c:pt>
                <c:pt idx="5">
                  <c:v>4.7</c:v>
                </c:pt>
              </c:numCache>
            </c:numRef>
          </c:val>
          <c:smooth val="0"/>
          <c:extLst>
            <c:ext xmlns:c16="http://schemas.microsoft.com/office/drawing/2014/chart" uri="{C3380CC4-5D6E-409C-BE32-E72D297353CC}">
              <c16:uniqueId val="{00000001-C94D-4677-9F83-6E9FF051ABAE}"/>
            </c:ext>
          </c:extLst>
        </c:ser>
        <c:ser>
          <c:idx val="2"/>
          <c:order val="2"/>
          <c:tx>
            <c:strRef>
              <c:f>'Growth Trend Pivot'!$D$3:$D$4</c:f>
              <c:strCache>
                <c:ptCount val="1"/>
                <c:pt idx="0">
                  <c:v>TCS</c:v>
                </c:pt>
              </c:strCache>
            </c:strRef>
          </c:tx>
          <c:spPr>
            <a:ln w="28575" cap="rnd">
              <a:solidFill>
                <a:schemeClr val="accent3"/>
              </a:solidFill>
              <a:round/>
            </a:ln>
            <a:effectLst/>
          </c:spPr>
          <c:marker>
            <c:symbol val="none"/>
          </c:marker>
          <c:cat>
            <c:strRef>
              <c:f>'Growth Trend Pivot'!$A$5:$A$11</c:f>
              <c:strCache>
                <c:ptCount val="6"/>
                <c:pt idx="0">
                  <c:v>2019</c:v>
                </c:pt>
                <c:pt idx="1">
                  <c:v>2020</c:v>
                </c:pt>
                <c:pt idx="2">
                  <c:v>2021</c:v>
                </c:pt>
                <c:pt idx="3">
                  <c:v>2022</c:v>
                </c:pt>
                <c:pt idx="4">
                  <c:v>2023</c:v>
                </c:pt>
                <c:pt idx="5">
                  <c:v>2024</c:v>
                </c:pt>
              </c:strCache>
            </c:strRef>
          </c:cat>
          <c:val>
            <c:numRef>
              <c:f>'Growth Trend Pivot'!$D$5:$D$11</c:f>
              <c:numCache>
                <c:formatCode>General</c:formatCode>
                <c:ptCount val="6"/>
                <c:pt idx="0">
                  <c:v>#N/A</c:v>
                </c:pt>
                <c:pt idx="1">
                  <c:v>7.16</c:v>
                </c:pt>
                <c:pt idx="2">
                  <c:v>4.6100000000000003</c:v>
                </c:pt>
                <c:pt idx="3">
                  <c:v>16.8</c:v>
                </c:pt>
                <c:pt idx="4">
                  <c:v>17.579999999999998</c:v>
                </c:pt>
                <c:pt idx="5">
                  <c:v>6.85</c:v>
                </c:pt>
              </c:numCache>
            </c:numRef>
          </c:val>
          <c:smooth val="0"/>
          <c:extLst>
            <c:ext xmlns:c16="http://schemas.microsoft.com/office/drawing/2014/chart" uri="{C3380CC4-5D6E-409C-BE32-E72D297353CC}">
              <c16:uniqueId val="{00000002-C94D-4677-9F83-6E9FF051ABAE}"/>
            </c:ext>
          </c:extLst>
        </c:ser>
        <c:ser>
          <c:idx val="3"/>
          <c:order val="3"/>
          <c:tx>
            <c:strRef>
              <c:f>'Growth Trend Pivot'!$E$3:$E$4</c:f>
              <c:strCache>
                <c:ptCount val="1"/>
                <c:pt idx="0">
                  <c:v>Tech Mahindra</c:v>
                </c:pt>
              </c:strCache>
            </c:strRef>
          </c:tx>
          <c:spPr>
            <a:ln w="28575" cap="rnd">
              <a:solidFill>
                <a:schemeClr val="accent4"/>
              </a:solidFill>
              <a:round/>
            </a:ln>
            <a:effectLst/>
          </c:spPr>
          <c:marker>
            <c:symbol val="none"/>
          </c:marker>
          <c:cat>
            <c:strRef>
              <c:f>'Growth Trend Pivot'!$A$5:$A$11</c:f>
              <c:strCache>
                <c:ptCount val="6"/>
                <c:pt idx="0">
                  <c:v>2019</c:v>
                </c:pt>
                <c:pt idx="1">
                  <c:v>2020</c:v>
                </c:pt>
                <c:pt idx="2">
                  <c:v>2021</c:v>
                </c:pt>
                <c:pt idx="3">
                  <c:v>2022</c:v>
                </c:pt>
                <c:pt idx="4">
                  <c:v>2023</c:v>
                </c:pt>
                <c:pt idx="5">
                  <c:v>2024</c:v>
                </c:pt>
              </c:strCache>
            </c:strRef>
          </c:cat>
          <c:val>
            <c:numRef>
              <c:f>'Growth Trend Pivot'!$E$5:$E$11</c:f>
              <c:numCache>
                <c:formatCode>General</c:formatCode>
                <c:ptCount val="6"/>
                <c:pt idx="0">
                  <c:v>#N/A</c:v>
                </c:pt>
                <c:pt idx="1">
                  <c:v>6.12</c:v>
                </c:pt>
                <c:pt idx="2">
                  <c:v>2.68</c:v>
                </c:pt>
                <c:pt idx="3">
                  <c:v>17.940000000000001</c:v>
                </c:pt>
                <c:pt idx="4">
                  <c:v>19.36</c:v>
                </c:pt>
                <c:pt idx="5">
                  <c:v>-2.4300000000000002</c:v>
                </c:pt>
              </c:numCache>
            </c:numRef>
          </c:val>
          <c:smooth val="0"/>
          <c:extLst>
            <c:ext xmlns:c16="http://schemas.microsoft.com/office/drawing/2014/chart" uri="{C3380CC4-5D6E-409C-BE32-E72D297353CC}">
              <c16:uniqueId val="{00000003-C94D-4677-9F83-6E9FF051ABAE}"/>
            </c:ext>
          </c:extLst>
        </c:ser>
        <c:ser>
          <c:idx val="4"/>
          <c:order val="4"/>
          <c:tx>
            <c:strRef>
              <c:f>'Growth Trend Pivot'!$F$3:$F$4</c:f>
              <c:strCache>
                <c:ptCount val="1"/>
                <c:pt idx="0">
                  <c:v>Wipro</c:v>
                </c:pt>
              </c:strCache>
            </c:strRef>
          </c:tx>
          <c:spPr>
            <a:ln w="28575" cap="rnd">
              <a:solidFill>
                <a:schemeClr val="accent5"/>
              </a:solidFill>
              <a:round/>
            </a:ln>
            <a:effectLst/>
          </c:spPr>
          <c:marker>
            <c:symbol val="none"/>
          </c:marker>
          <c:cat>
            <c:strRef>
              <c:f>'Growth Trend Pivot'!$A$5:$A$11</c:f>
              <c:strCache>
                <c:ptCount val="6"/>
                <c:pt idx="0">
                  <c:v>2019</c:v>
                </c:pt>
                <c:pt idx="1">
                  <c:v>2020</c:v>
                </c:pt>
                <c:pt idx="2">
                  <c:v>2021</c:v>
                </c:pt>
                <c:pt idx="3">
                  <c:v>2022</c:v>
                </c:pt>
                <c:pt idx="4">
                  <c:v>2023</c:v>
                </c:pt>
                <c:pt idx="5">
                  <c:v>2024</c:v>
                </c:pt>
              </c:strCache>
            </c:strRef>
          </c:cat>
          <c:val>
            <c:numRef>
              <c:f>'Growth Trend Pivot'!$F$5:$F$11</c:f>
              <c:numCache>
                <c:formatCode>General</c:formatCode>
                <c:ptCount val="6"/>
                <c:pt idx="0">
                  <c:v>#N/A</c:v>
                </c:pt>
                <c:pt idx="1">
                  <c:v>3.59</c:v>
                </c:pt>
                <c:pt idx="2">
                  <c:v>1.3</c:v>
                </c:pt>
                <c:pt idx="3">
                  <c:v>28.06</c:v>
                </c:pt>
                <c:pt idx="4">
                  <c:v>14.09</c:v>
                </c:pt>
                <c:pt idx="5">
                  <c:v>-0.8</c:v>
                </c:pt>
              </c:numCache>
            </c:numRef>
          </c:val>
          <c:smooth val="0"/>
          <c:extLst>
            <c:ext xmlns:c16="http://schemas.microsoft.com/office/drawing/2014/chart" uri="{C3380CC4-5D6E-409C-BE32-E72D297353CC}">
              <c16:uniqueId val="{00000004-C94D-4677-9F83-6E9FF051ABAE}"/>
            </c:ext>
          </c:extLst>
        </c:ser>
        <c:dLbls>
          <c:showLegendKey val="0"/>
          <c:showVal val="0"/>
          <c:showCatName val="0"/>
          <c:showSerName val="0"/>
          <c:showPercent val="0"/>
          <c:showBubbleSize val="0"/>
        </c:dLbls>
        <c:smooth val="0"/>
        <c:axId val="1806107120"/>
        <c:axId val="1806115760"/>
      </c:lineChart>
      <c:catAx>
        <c:axId val="180610712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Year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6115760"/>
        <c:crosses val="autoZero"/>
        <c:auto val="1"/>
        <c:lblAlgn val="ctr"/>
        <c:lblOffset val="100"/>
        <c:noMultiLvlLbl val="0"/>
      </c:catAx>
      <c:valAx>
        <c:axId val="180611576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Avg.</a:t>
                </a:r>
                <a:r>
                  <a:rPr lang="en-IN" baseline="0"/>
                  <a:t> Revenue Growth</a:t>
                </a:r>
                <a:endParaRPr lang="en-IN"/>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610712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[SQL_Results.xlsx]Growth Trend Pivot!PivotTable2</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Operating Profit %- Year-on-year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'Growth Trend Pivot'!$B$32:$B$33</c:f>
              <c:strCache>
                <c:ptCount val="1"/>
                <c:pt idx="0">
                  <c:v>HCL Tech</c:v>
                </c:pt>
              </c:strCache>
            </c:strRef>
          </c:tx>
          <c:spPr>
            <a:ln w="28575" cap="rnd">
              <a:solidFill>
                <a:schemeClr val="accent1"/>
              </a:solidFill>
              <a:round/>
            </a:ln>
            <a:effectLst/>
          </c:spPr>
          <c:marker>
            <c:symbol val="none"/>
          </c:marker>
          <c:cat>
            <c:strRef>
              <c:f>'Growth Trend Pivot'!$A$34:$A$40</c:f>
              <c:strCache>
                <c:ptCount val="6"/>
                <c:pt idx="0">
                  <c:v>2019</c:v>
                </c:pt>
                <c:pt idx="1">
                  <c:v>2020</c:v>
                </c:pt>
                <c:pt idx="2">
                  <c:v>2021</c:v>
                </c:pt>
                <c:pt idx="3">
                  <c:v>2022</c:v>
                </c:pt>
                <c:pt idx="4">
                  <c:v>2023</c:v>
                </c:pt>
                <c:pt idx="5">
                  <c:v>2024</c:v>
                </c:pt>
              </c:strCache>
            </c:strRef>
          </c:cat>
          <c:val>
            <c:numRef>
              <c:f>'Growth Trend Pivot'!$B$34:$B$40</c:f>
              <c:numCache>
                <c:formatCode>General</c:formatCode>
                <c:ptCount val="6"/>
                <c:pt idx="0">
                  <c:v>#N/A</c:v>
                </c:pt>
                <c:pt idx="1">
                  <c:v>20.420000000000002</c:v>
                </c:pt>
                <c:pt idx="2">
                  <c:v>17.010000000000002</c:v>
                </c:pt>
                <c:pt idx="3">
                  <c:v>2.96</c:v>
                </c:pt>
                <c:pt idx="4">
                  <c:v>11.22</c:v>
                </c:pt>
                <c:pt idx="5">
                  <c:v>7.06</c:v>
                </c:pt>
              </c:numCache>
            </c:numRef>
          </c:val>
          <c:smooth val="0"/>
          <c:extLst>
            <c:ext xmlns:c16="http://schemas.microsoft.com/office/drawing/2014/chart" uri="{C3380CC4-5D6E-409C-BE32-E72D297353CC}">
              <c16:uniqueId val="{00000000-5934-482E-B71C-CDD998B46459}"/>
            </c:ext>
          </c:extLst>
        </c:ser>
        <c:ser>
          <c:idx val="1"/>
          <c:order val="1"/>
          <c:tx>
            <c:strRef>
              <c:f>'Growth Trend Pivot'!$C$32:$C$33</c:f>
              <c:strCache>
                <c:ptCount val="1"/>
                <c:pt idx="0">
                  <c:v>Infosys</c:v>
                </c:pt>
              </c:strCache>
            </c:strRef>
          </c:tx>
          <c:spPr>
            <a:ln w="28575" cap="rnd">
              <a:solidFill>
                <a:schemeClr val="accent2"/>
              </a:solidFill>
              <a:round/>
            </a:ln>
            <a:effectLst/>
          </c:spPr>
          <c:marker>
            <c:symbol val="none"/>
          </c:marker>
          <c:cat>
            <c:strRef>
              <c:f>'Growth Trend Pivot'!$A$34:$A$40</c:f>
              <c:strCache>
                <c:ptCount val="6"/>
                <c:pt idx="0">
                  <c:v>2019</c:v>
                </c:pt>
                <c:pt idx="1">
                  <c:v>2020</c:v>
                </c:pt>
                <c:pt idx="2">
                  <c:v>2021</c:v>
                </c:pt>
                <c:pt idx="3">
                  <c:v>2022</c:v>
                </c:pt>
                <c:pt idx="4">
                  <c:v>2023</c:v>
                </c:pt>
                <c:pt idx="5">
                  <c:v>2024</c:v>
                </c:pt>
              </c:strCache>
            </c:strRef>
          </c:cat>
          <c:val>
            <c:numRef>
              <c:f>'Growth Trend Pivot'!$C$34:$C$40</c:f>
              <c:numCache>
                <c:formatCode>General</c:formatCode>
                <c:ptCount val="6"/>
                <c:pt idx="0">
                  <c:v>#N/A</c:v>
                </c:pt>
                <c:pt idx="1">
                  <c:v>8.59</c:v>
                </c:pt>
                <c:pt idx="2">
                  <c:v>19.95</c:v>
                </c:pt>
                <c:pt idx="3">
                  <c:v>12.43</c:v>
                </c:pt>
                <c:pt idx="4">
                  <c:v>12.05</c:v>
                </c:pt>
                <c:pt idx="5">
                  <c:v>8.73</c:v>
                </c:pt>
              </c:numCache>
            </c:numRef>
          </c:val>
          <c:smooth val="0"/>
          <c:extLst>
            <c:ext xmlns:c16="http://schemas.microsoft.com/office/drawing/2014/chart" uri="{C3380CC4-5D6E-409C-BE32-E72D297353CC}">
              <c16:uniqueId val="{00000001-5934-482E-B71C-CDD998B46459}"/>
            </c:ext>
          </c:extLst>
        </c:ser>
        <c:ser>
          <c:idx val="2"/>
          <c:order val="2"/>
          <c:tx>
            <c:strRef>
              <c:f>'Growth Trend Pivot'!$D$32:$D$33</c:f>
              <c:strCache>
                <c:ptCount val="1"/>
                <c:pt idx="0">
                  <c:v>TCS</c:v>
                </c:pt>
              </c:strCache>
            </c:strRef>
          </c:tx>
          <c:spPr>
            <a:ln w="28575" cap="rnd">
              <a:solidFill>
                <a:schemeClr val="accent3"/>
              </a:solidFill>
              <a:round/>
            </a:ln>
            <a:effectLst/>
          </c:spPr>
          <c:marker>
            <c:symbol val="none"/>
          </c:marker>
          <c:cat>
            <c:strRef>
              <c:f>'Growth Trend Pivot'!$A$34:$A$40</c:f>
              <c:strCache>
                <c:ptCount val="6"/>
                <c:pt idx="0">
                  <c:v>2019</c:v>
                </c:pt>
                <c:pt idx="1">
                  <c:v>2020</c:v>
                </c:pt>
                <c:pt idx="2">
                  <c:v>2021</c:v>
                </c:pt>
                <c:pt idx="3">
                  <c:v>2022</c:v>
                </c:pt>
                <c:pt idx="4">
                  <c:v>2023</c:v>
                </c:pt>
                <c:pt idx="5">
                  <c:v>2024</c:v>
                </c:pt>
              </c:strCache>
            </c:strRef>
          </c:cat>
          <c:val>
            <c:numRef>
              <c:f>'Growth Trend Pivot'!$D$34:$D$40</c:f>
              <c:numCache>
                <c:formatCode>General</c:formatCode>
                <c:ptCount val="6"/>
                <c:pt idx="0">
                  <c:v>#N/A</c:v>
                </c:pt>
                <c:pt idx="1">
                  <c:v>6.56</c:v>
                </c:pt>
                <c:pt idx="2">
                  <c:v>3.73</c:v>
                </c:pt>
                <c:pt idx="3">
                  <c:v>17.84</c:v>
                </c:pt>
                <c:pt idx="4">
                  <c:v>9.83</c:v>
                </c:pt>
                <c:pt idx="5">
                  <c:v>8.02</c:v>
                </c:pt>
              </c:numCache>
            </c:numRef>
          </c:val>
          <c:smooth val="0"/>
          <c:extLst>
            <c:ext xmlns:c16="http://schemas.microsoft.com/office/drawing/2014/chart" uri="{C3380CC4-5D6E-409C-BE32-E72D297353CC}">
              <c16:uniqueId val="{00000002-5934-482E-B71C-CDD998B46459}"/>
            </c:ext>
          </c:extLst>
        </c:ser>
        <c:ser>
          <c:idx val="3"/>
          <c:order val="3"/>
          <c:tx>
            <c:strRef>
              <c:f>'Growth Trend Pivot'!$E$32:$E$33</c:f>
              <c:strCache>
                <c:ptCount val="1"/>
                <c:pt idx="0">
                  <c:v>Tech Mahindra</c:v>
                </c:pt>
              </c:strCache>
            </c:strRef>
          </c:tx>
          <c:spPr>
            <a:ln w="28575" cap="rnd">
              <a:solidFill>
                <a:schemeClr val="accent4"/>
              </a:solidFill>
              <a:round/>
            </a:ln>
            <a:effectLst/>
          </c:spPr>
          <c:marker>
            <c:symbol val="none"/>
          </c:marker>
          <c:cat>
            <c:strRef>
              <c:f>'Growth Trend Pivot'!$A$34:$A$40</c:f>
              <c:strCache>
                <c:ptCount val="6"/>
                <c:pt idx="0">
                  <c:v>2019</c:v>
                </c:pt>
                <c:pt idx="1">
                  <c:v>2020</c:v>
                </c:pt>
                <c:pt idx="2">
                  <c:v>2021</c:v>
                </c:pt>
                <c:pt idx="3">
                  <c:v>2022</c:v>
                </c:pt>
                <c:pt idx="4">
                  <c:v>2023</c:v>
                </c:pt>
                <c:pt idx="5">
                  <c:v>2024</c:v>
                </c:pt>
              </c:strCache>
            </c:strRef>
          </c:cat>
          <c:val>
            <c:numRef>
              <c:f>'Growth Trend Pivot'!$E$34:$E$40</c:f>
              <c:numCache>
                <c:formatCode>General</c:formatCode>
                <c:ptCount val="6"/>
                <c:pt idx="0">
                  <c:v>#N/A</c:v>
                </c:pt>
                <c:pt idx="1">
                  <c:v>0.25</c:v>
                </c:pt>
                <c:pt idx="2">
                  <c:v>12.13</c:v>
                </c:pt>
                <c:pt idx="3">
                  <c:v>18.43</c:v>
                </c:pt>
                <c:pt idx="4">
                  <c:v>-4.07</c:v>
                </c:pt>
                <c:pt idx="5">
                  <c:v>-38.01</c:v>
                </c:pt>
              </c:numCache>
            </c:numRef>
          </c:val>
          <c:smooth val="0"/>
          <c:extLst>
            <c:ext xmlns:c16="http://schemas.microsoft.com/office/drawing/2014/chart" uri="{C3380CC4-5D6E-409C-BE32-E72D297353CC}">
              <c16:uniqueId val="{00000003-5934-482E-B71C-CDD998B46459}"/>
            </c:ext>
          </c:extLst>
        </c:ser>
        <c:ser>
          <c:idx val="4"/>
          <c:order val="4"/>
          <c:tx>
            <c:strRef>
              <c:f>'Growth Trend Pivot'!$F$32:$F$33</c:f>
              <c:strCache>
                <c:ptCount val="1"/>
                <c:pt idx="0">
                  <c:v>Wipro</c:v>
                </c:pt>
              </c:strCache>
            </c:strRef>
          </c:tx>
          <c:spPr>
            <a:ln w="28575" cap="rnd">
              <a:solidFill>
                <a:schemeClr val="accent5"/>
              </a:solidFill>
              <a:round/>
            </a:ln>
            <a:effectLst/>
          </c:spPr>
          <c:marker>
            <c:symbol val="none"/>
          </c:marker>
          <c:cat>
            <c:strRef>
              <c:f>'Growth Trend Pivot'!$A$34:$A$40</c:f>
              <c:strCache>
                <c:ptCount val="6"/>
                <c:pt idx="0">
                  <c:v>2019</c:v>
                </c:pt>
                <c:pt idx="1">
                  <c:v>2020</c:v>
                </c:pt>
                <c:pt idx="2">
                  <c:v>2021</c:v>
                </c:pt>
                <c:pt idx="3">
                  <c:v>2022</c:v>
                </c:pt>
                <c:pt idx="4">
                  <c:v>2023</c:v>
                </c:pt>
                <c:pt idx="5">
                  <c:v>2024</c:v>
                </c:pt>
              </c:strCache>
            </c:strRef>
          </c:cat>
          <c:val>
            <c:numRef>
              <c:f>'Growth Trend Pivot'!$F$34:$F$40</c:f>
              <c:numCache>
                <c:formatCode>General</c:formatCode>
                <c:ptCount val="6"/>
                <c:pt idx="1">
                  <c:v>5.69</c:v>
                </c:pt>
                <c:pt idx="2">
                  <c:v>13.87</c:v>
                </c:pt>
                <c:pt idx="3">
                  <c:v>9.5500000000000007</c:v>
                </c:pt>
                <c:pt idx="4">
                  <c:v>1.92</c:v>
                </c:pt>
                <c:pt idx="5">
                  <c:v>1.1499999999999999</c:v>
                </c:pt>
              </c:numCache>
            </c:numRef>
          </c:val>
          <c:smooth val="0"/>
          <c:extLst>
            <c:ext xmlns:c16="http://schemas.microsoft.com/office/drawing/2014/chart" uri="{C3380CC4-5D6E-409C-BE32-E72D297353CC}">
              <c16:uniqueId val="{00000004-5934-482E-B71C-CDD998B46459}"/>
            </c:ext>
          </c:extLst>
        </c:ser>
        <c:dLbls>
          <c:showLegendKey val="0"/>
          <c:showVal val="0"/>
          <c:showCatName val="0"/>
          <c:showSerName val="0"/>
          <c:showPercent val="0"/>
          <c:showBubbleSize val="0"/>
        </c:dLbls>
        <c:smooth val="0"/>
        <c:axId val="1576934144"/>
        <c:axId val="1576935584"/>
      </c:lineChart>
      <c:catAx>
        <c:axId val="157693414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Year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76935584"/>
        <c:crosses val="autoZero"/>
        <c:auto val="1"/>
        <c:lblAlgn val="ctr"/>
        <c:lblOffset val="100"/>
        <c:noMultiLvlLbl val="0"/>
      </c:catAx>
      <c:valAx>
        <c:axId val="157693558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Avg.</a:t>
                </a:r>
                <a:r>
                  <a:rPr lang="en-IN" baseline="0"/>
                  <a:t> Operating Profit</a:t>
                </a:r>
                <a:endParaRPr lang="en-IN"/>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769341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[SQL_Results.xlsx]Profitability Trend Pivot!PivotTable4</c:name>
    <c:fmtId val="1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Operating</a:t>
            </a:r>
            <a:r>
              <a:rPr lang="en-IN" baseline="0"/>
              <a:t> profit over the Years</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'Profitability Trend Pivot'!$B$33:$B$34</c:f>
              <c:strCache>
                <c:ptCount val="1"/>
                <c:pt idx="0">
                  <c:v>TCS</c:v>
                </c:pt>
              </c:strCache>
            </c:strRef>
          </c:tx>
          <c:spPr>
            <a:solidFill>
              <a:schemeClr val="accent2">
                <a:shade val="53000"/>
              </a:schemeClr>
            </a:solidFill>
            <a:ln>
              <a:noFill/>
            </a:ln>
            <a:effectLst/>
          </c:spPr>
          <c:invertIfNegative val="0"/>
          <c:cat>
            <c:strRef>
              <c:f>'Profitability Trend Pivot'!$A$35:$A$41</c:f>
              <c:strCache>
                <c:ptCount val="6"/>
                <c:pt idx="0">
                  <c:v>2019</c:v>
                </c:pt>
                <c:pt idx="1">
                  <c:v>2020</c:v>
                </c:pt>
                <c:pt idx="2">
                  <c:v>2021</c:v>
                </c:pt>
                <c:pt idx="3">
                  <c:v>2022</c:v>
                </c:pt>
                <c:pt idx="4">
                  <c:v>2023</c:v>
                </c:pt>
                <c:pt idx="5">
                  <c:v>2024</c:v>
                </c:pt>
              </c:strCache>
            </c:strRef>
          </c:cat>
          <c:val>
            <c:numRef>
              <c:f>'Profitability Trend Pivot'!$B$35:$B$41</c:f>
              <c:numCache>
                <c:formatCode>0.00</c:formatCode>
                <c:ptCount val="6"/>
                <c:pt idx="0">
                  <c:v>43727</c:v>
                </c:pt>
                <c:pt idx="1">
                  <c:v>46594</c:v>
                </c:pt>
                <c:pt idx="2">
                  <c:v>48330</c:v>
                </c:pt>
                <c:pt idx="3">
                  <c:v>56953</c:v>
                </c:pt>
                <c:pt idx="4">
                  <c:v>62552</c:v>
                </c:pt>
                <c:pt idx="5">
                  <c:v>67569</c:v>
                </c:pt>
              </c:numCache>
            </c:numRef>
          </c:val>
          <c:extLst>
            <c:ext xmlns:c16="http://schemas.microsoft.com/office/drawing/2014/chart" uri="{C3380CC4-5D6E-409C-BE32-E72D297353CC}">
              <c16:uniqueId val="{00000000-3C92-4AA6-8E07-FADE876D057A}"/>
            </c:ext>
          </c:extLst>
        </c:ser>
        <c:ser>
          <c:idx val="1"/>
          <c:order val="1"/>
          <c:tx>
            <c:strRef>
              <c:f>'Profitability Trend Pivot'!$C$33:$C$34</c:f>
              <c:strCache>
                <c:ptCount val="1"/>
                <c:pt idx="0">
                  <c:v>Infosys</c:v>
                </c:pt>
              </c:strCache>
            </c:strRef>
          </c:tx>
          <c:spPr>
            <a:solidFill>
              <a:schemeClr val="accent2">
                <a:shade val="76000"/>
              </a:schemeClr>
            </a:solidFill>
            <a:ln>
              <a:noFill/>
            </a:ln>
            <a:effectLst/>
          </c:spPr>
          <c:invertIfNegative val="0"/>
          <c:cat>
            <c:strRef>
              <c:f>'Profitability Trend Pivot'!$A$35:$A$41</c:f>
              <c:strCache>
                <c:ptCount val="6"/>
                <c:pt idx="0">
                  <c:v>2019</c:v>
                </c:pt>
                <c:pt idx="1">
                  <c:v>2020</c:v>
                </c:pt>
                <c:pt idx="2">
                  <c:v>2021</c:v>
                </c:pt>
                <c:pt idx="3">
                  <c:v>2022</c:v>
                </c:pt>
                <c:pt idx="4">
                  <c:v>2023</c:v>
                </c:pt>
                <c:pt idx="5">
                  <c:v>2024</c:v>
                </c:pt>
              </c:strCache>
            </c:strRef>
          </c:cat>
          <c:val>
            <c:numRef>
              <c:f>'Profitability Trend Pivot'!$C$35:$C$41</c:f>
              <c:numCache>
                <c:formatCode>0.00</c:formatCode>
                <c:ptCount val="6"/>
                <c:pt idx="0">
                  <c:v>23046</c:v>
                </c:pt>
                <c:pt idx="1">
                  <c:v>25025</c:v>
                </c:pt>
                <c:pt idx="2">
                  <c:v>30018</c:v>
                </c:pt>
                <c:pt idx="3">
                  <c:v>33750</c:v>
                </c:pt>
                <c:pt idx="4">
                  <c:v>37818</c:v>
                </c:pt>
                <c:pt idx="5">
                  <c:v>41121</c:v>
                </c:pt>
              </c:numCache>
            </c:numRef>
          </c:val>
          <c:extLst>
            <c:ext xmlns:c16="http://schemas.microsoft.com/office/drawing/2014/chart" uri="{C3380CC4-5D6E-409C-BE32-E72D297353CC}">
              <c16:uniqueId val="{00000001-3C92-4AA6-8E07-FADE876D057A}"/>
            </c:ext>
          </c:extLst>
        </c:ser>
        <c:ser>
          <c:idx val="2"/>
          <c:order val="2"/>
          <c:tx>
            <c:strRef>
              <c:f>'Profitability Trend Pivot'!$D$33:$D$34</c:f>
              <c:strCache>
                <c:ptCount val="1"/>
                <c:pt idx="0">
                  <c:v>HCL Tech</c:v>
                </c:pt>
              </c:strCache>
            </c:strRef>
          </c:tx>
          <c:spPr>
            <a:solidFill>
              <a:schemeClr val="accent2"/>
            </a:solidFill>
            <a:ln>
              <a:noFill/>
            </a:ln>
            <a:effectLst/>
          </c:spPr>
          <c:invertIfNegative val="0"/>
          <c:cat>
            <c:strRef>
              <c:f>'Profitability Trend Pivot'!$A$35:$A$41</c:f>
              <c:strCache>
                <c:ptCount val="6"/>
                <c:pt idx="0">
                  <c:v>2019</c:v>
                </c:pt>
                <c:pt idx="1">
                  <c:v>2020</c:v>
                </c:pt>
                <c:pt idx="2">
                  <c:v>2021</c:v>
                </c:pt>
                <c:pt idx="3">
                  <c:v>2022</c:v>
                </c:pt>
                <c:pt idx="4">
                  <c:v>2023</c:v>
                </c:pt>
                <c:pt idx="5">
                  <c:v>2024</c:v>
                </c:pt>
              </c:strCache>
            </c:strRef>
          </c:cat>
          <c:val>
            <c:numRef>
              <c:f>'Profitability Trend Pivot'!$D$35:$D$41</c:f>
              <c:numCache>
                <c:formatCode>0.00</c:formatCode>
                <c:ptCount val="6"/>
                <c:pt idx="0">
                  <c:v>14869</c:v>
                </c:pt>
                <c:pt idx="1">
                  <c:v>17905</c:v>
                </c:pt>
                <c:pt idx="2">
                  <c:v>20951</c:v>
                </c:pt>
                <c:pt idx="3">
                  <c:v>21572</c:v>
                </c:pt>
                <c:pt idx="4">
                  <c:v>23992</c:v>
                </c:pt>
                <c:pt idx="5">
                  <c:v>25685</c:v>
                </c:pt>
              </c:numCache>
            </c:numRef>
          </c:val>
          <c:extLst>
            <c:ext xmlns:c16="http://schemas.microsoft.com/office/drawing/2014/chart" uri="{C3380CC4-5D6E-409C-BE32-E72D297353CC}">
              <c16:uniqueId val="{00000002-3C92-4AA6-8E07-FADE876D057A}"/>
            </c:ext>
          </c:extLst>
        </c:ser>
        <c:ser>
          <c:idx val="3"/>
          <c:order val="3"/>
          <c:tx>
            <c:strRef>
              <c:f>'Profitability Trend Pivot'!$E$33:$E$34</c:f>
              <c:strCache>
                <c:ptCount val="1"/>
                <c:pt idx="0">
                  <c:v>Wipro</c:v>
                </c:pt>
              </c:strCache>
            </c:strRef>
          </c:tx>
          <c:spPr>
            <a:solidFill>
              <a:schemeClr val="accent2">
                <a:tint val="77000"/>
              </a:schemeClr>
            </a:solidFill>
            <a:ln>
              <a:noFill/>
            </a:ln>
            <a:effectLst/>
          </c:spPr>
          <c:invertIfNegative val="0"/>
          <c:cat>
            <c:strRef>
              <c:f>'Profitability Trend Pivot'!$A$35:$A$41</c:f>
              <c:strCache>
                <c:ptCount val="6"/>
                <c:pt idx="0">
                  <c:v>2019</c:v>
                </c:pt>
                <c:pt idx="1">
                  <c:v>2020</c:v>
                </c:pt>
                <c:pt idx="2">
                  <c:v>2021</c:v>
                </c:pt>
                <c:pt idx="3">
                  <c:v>2022</c:v>
                </c:pt>
                <c:pt idx="4">
                  <c:v>2023</c:v>
                </c:pt>
                <c:pt idx="5">
                  <c:v>2024</c:v>
                </c:pt>
              </c:strCache>
            </c:strRef>
          </c:cat>
          <c:val>
            <c:numRef>
              <c:f>'Profitability Trend Pivot'!$E$35:$E$41</c:f>
              <c:numCache>
                <c:formatCode>0.00</c:formatCode>
                <c:ptCount val="6"/>
                <c:pt idx="0">
                  <c:v>14212.2</c:v>
                </c:pt>
                <c:pt idx="1">
                  <c:v>15020.7</c:v>
                </c:pt>
                <c:pt idx="2">
                  <c:v>17103.5</c:v>
                </c:pt>
                <c:pt idx="3">
                  <c:v>18737.3</c:v>
                </c:pt>
                <c:pt idx="4">
                  <c:v>19097.099999999999</c:v>
                </c:pt>
                <c:pt idx="5">
                  <c:v>19316.400000000001</c:v>
                </c:pt>
              </c:numCache>
            </c:numRef>
          </c:val>
          <c:extLst>
            <c:ext xmlns:c16="http://schemas.microsoft.com/office/drawing/2014/chart" uri="{C3380CC4-5D6E-409C-BE32-E72D297353CC}">
              <c16:uniqueId val="{00000003-3C92-4AA6-8E07-FADE876D057A}"/>
            </c:ext>
          </c:extLst>
        </c:ser>
        <c:ser>
          <c:idx val="4"/>
          <c:order val="4"/>
          <c:tx>
            <c:strRef>
              <c:f>'Profitability Trend Pivot'!$F$33:$F$34</c:f>
              <c:strCache>
                <c:ptCount val="1"/>
                <c:pt idx="0">
                  <c:v>Tech Mahindra</c:v>
                </c:pt>
              </c:strCache>
            </c:strRef>
          </c:tx>
          <c:spPr>
            <a:solidFill>
              <a:schemeClr val="accent2">
                <a:tint val="54000"/>
              </a:schemeClr>
            </a:solidFill>
            <a:ln>
              <a:noFill/>
            </a:ln>
            <a:effectLst/>
          </c:spPr>
          <c:invertIfNegative val="0"/>
          <c:cat>
            <c:strRef>
              <c:f>'Profitability Trend Pivot'!$A$35:$A$41</c:f>
              <c:strCache>
                <c:ptCount val="6"/>
                <c:pt idx="0">
                  <c:v>2019</c:v>
                </c:pt>
                <c:pt idx="1">
                  <c:v>2020</c:v>
                </c:pt>
                <c:pt idx="2">
                  <c:v>2021</c:v>
                </c:pt>
                <c:pt idx="3">
                  <c:v>2022</c:v>
                </c:pt>
                <c:pt idx="4">
                  <c:v>2023</c:v>
                </c:pt>
                <c:pt idx="5">
                  <c:v>2024</c:v>
                </c:pt>
              </c:strCache>
            </c:strRef>
          </c:cat>
          <c:val>
            <c:numRef>
              <c:f>'Profitability Trend Pivot'!$F$35:$F$41</c:f>
              <c:numCache>
                <c:formatCode>0.00</c:formatCode>
                <c:ptCount val="6"/>
                <c:pt idx="0">
                  <c:v>6814.4</c:v>
                </c:pt>
                <c:pt idx="1">
                  <c:v>6831.1</c:v>
                </c:pt>
                <c:pt idx="2">
                  <c:v>7659.6</c:v>
                </c:pt>
                <c:pt idx="3">
                  <c:v>9071.1</c:v>
                </c:pt>
                <c:pt idx="4">
                  <c:v>8702.1</c:v>
                </c:pt>
                <c:pt idx="5">
                  <c:v>5394.7</c:v>
                </c:pt>
              </c:numCache>
            </c:numRef>
          </c:val>
          <c:extLst>
            <c:ext xmlns:c16="http://schemas.microsoft.com/office/drawing/2014/chart" uri="{C3380CC4-5D6E-409C-BE32-E72D297353CC}">
              <c16:uniqueId val="{00000004-3C92-4AA6-8E07-FADE876D057A}"/>
            </c:ext>
          </c:extLst>
        </c:ser>
        <c:dLbls>
          <c:showLegendKey val="0"/>
          <c:showVal val="0"/>
          <c:showCatName val="0"/>
          <c:showSerName val="0"/>
          <c:showPercent val="0"/>
          <c:showBubbleSize val="0"/>
        </c:dLbls>
        <c:gapWidth val="219"/>
        <c:overlap val="-27"/>
        <c:axId val="510780880"/>
        <c:axId val="510785680"/>
      </c:barChart>
      <c:catAx>
        <c:axId val="51078088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Years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0785680"/>
        <c:crosses val="autoZero"/>
        <c:auto val="1"/>
        <c:lblAlgn val="ctr"/>
        <c:lblOffset val="100"/>
        <c:noMultiLvlLbl val="0"/>
      </c:catAx>
      <c:valAx>
        <c:axId val="51078568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Operating Profit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078088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[SQL_Results.xlsx]Profitability Trend Pivot!PivotTable3</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Net Profit</a:t>
            </a:r>
            <a:r>
              <a:rPr lang="en-IN" baseline="0"/>
              <a:t> margin Over the years</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'Profitability Trend Pivot'!$B$3:$B$4</c:f>
              <c:strCache>
                <c:ptCount val="1"/>
                <c:pt idx="0">
                  <c:v>TCS</c:v>
                </c:pt>
              </c:strCache>
            </c:strRef>
          </c:tx>
          <c:spPr>
            <a:solidFill>
              <a:schemeClr val="accent4">
                <a:shade val="53000"/>
              </a:schemeClr>
            </a:solidFill>
            <a:ln>
              <a:noFill/>
            </a:ln>
            <a:effectLst/>
          </c:spPr>
          <c:invertIfNegative val="0"/>
          <c:cat>
            <c:strRef>
              <c:f>'Profitability Trend Pivot'!$A$5:$A$11</c:f>
              <c:strCache>
                <c:ptCount val="6"/>
                <c:pt idx="0">
                  <c:v>2019</c:v>
                </c:pt>
                <c:pt idx="1">
                  <c:v>2020</c:v>
                </c:pt>
                <c:pt idx="2">
                  <c:v>2021</c:v>
                </c:pt>
                <c:pt idx="3">
                  <c:v>2022</c:v>
                </c:pt>
                <c:pt idx="4">
                  <c:v>2023</c:v>
                </c:pt>
                <c:pt idx="5">
                  <c:v>2024</c:v>
                </c:pt>
              </c:strCache>
            </c:strRef>
          </c:cat>
          <c:val>
            <c:numRef>
              <c:f>'Profitability Trend Pivot'!$B$5:$B$11</c:f>
              <c:numCache>
                <c:formatCode>General</c:formatCode>
                <c:ptCount val="6"/>
                <c:pt idx="0">
                  <c:v>21.49</c:v>
                </c:pt>
                <c:pt idx="1">
                  <c:v>20.61</c:v>
                </c:pt>
                <c:pt idx="2">
                  <c:v>19.75</c:v>
                </c:pt>
                <c:pt idx="3">
                  <c:v>19.989999999999998</c:v>
                </c:pt>
                <c:pt idx="4">
                  <c:v>18.690000000000001</c:v>
                </c:pt>
                <c:pt idx="5">
                  <c:v>19.059999999999999</c:v>
                </c:pt>
              </c:numCache>
            </c:numRef>
          </c:val>
          <c:extLst>
            <c:ext xmlns:c16="http://schemas.microsoft.com/office/drawing/2014/chart" uri="{C3380CC4-5D6E-409C-BE32-E72D297353CC}">
              <c16:uniqueId val="{00000000-48D9-449A-8BE1-E2A4FB281E5C}"/>
            </c:ext>
          </c:extLst>
        </c:ser>
        <c:ser>
          <c:idx val="1"/>
          <c:order val="1"/>
          <c:tx>
            <c:strRef>
              <c:f>'Profitability Trend Pivot'!$C$3:$C$4</c:f>
              <c:strCache>
                <c:ptCount val="1"/>
                <c:pt idx="0">
                  <c:v>Infosys</c:v>
                </c:pt>
              </c:strCache>
            </c:strRef>
          </c:tx>
          <c:spPr>
            <a:solidFill>
              <a:schemeClr val="accent4">
                <a:shade val="76000"/>
              </a:schemeClr>
            </a:solidFill>
            <a:ln>
              <a:noFill/>
            </a:ln>
            <a:effectLst/>
          </c:spPr>
          <c:invertIfNegative val="0"/>
          <c:cat>
            <c:strRef>
              <c:f>'Profitability Trend Pivot'!$A$5:$A$11</c:f>
              <c:strCache>
                <c:ptCount val="6"/>
                <c:pt idx="0">
                  <c:v>2019</c:v>
                </c:pt>
                <c:pt idx="1">
                  <c:v>2020</c:v>
                </c:pt>
                <c:pt idx="2">
                  <c:v>2021</c:v>
                </c:pt>
                <c:pt idx="3">
                  <c:v>2022</c:v>
                </c:pt>
                <c:pt idx="4">
                  <c:v>2023</c:v>
                </c:pt>
                <c:pt idx="5">
                  <c:v>2024</c:v>
                </c:pt>
              </c:strCache>
            </c:strRef>
          </c:cat>
          <c:val>
            <c:numRef>
              <c:f>'Profitability Trend Pivot'!$C$5:$C$11</c:f>
              <c:numCache>
                <c:formatCode>General</c:formatCode>
                <c:ptCount val="6"/>
                <c:pt idx="0">
                  <c:v>18.63</c:v>
                </c:pt>
                <c:pt idx="1">
                  <c:v>18.28</c:v>
                </c:pt>
                <c:pt idx="2">
                  <c:v>19.260000000000002</c:v>
                </c:pt>
                <c:pt idx="3">
                  <c:v>18.18</c:v>
                </c:pt>
                <c:pt idx="4">
                  <c:v>16.420000000000002</c:v>
                </c:pt>
                <c:pt idx="5">
                  <c:v>17.07</c:v>
                </c:pt>
              </c:numCache>
            </c:numRef>
          </c:val>
          <c:extLst>
            <c:ext xmlns:c16="http://schemas.microsoft.com/office/drawing/2014/chart" uri="{C3380CC4-5D6E-409C-BE32-E72D297353CC}">
              <c16:uniqueId val="{00000001-48D9-449A-8BE1-E2A4FB281E5C}"/>
            </c:ext>
          </c:extLst>
        </c:ser>
        <c:ser>
          <c:idx val="2"/>
          <c:order val="2"/>
          <c:tx>
            <c:strRef>
              <c:f>'Profitability Trend Pivot'!$D$3:$D$4</c:f>
              <c:strCache>
                <c:ptCount val="1"/>
                <c:pt idx="0">
                  <c:v>HCL Tech</c:v>
                </c:pt>
              </c:strCache>
            </c:strRef>
          </c:tx>
          <c:spPr>
            <a:solidFill>
              <a:schemeClr val="accent4"/>
            </a:solidFill>
            <a:ln>
              <a:noFill/>
            </a:ln>
            <a:effectLst/>
          </c:spPr>
          <c:invertIfNegative val="0"/>
          <c:cat>
            <c:strRef>
              <c:f>'Profitability Trend Pivot'!$A$5:$A$11</c:f>
              <c:strCache>
                <c:ptCount val="6"/>
                <c:pt idx="0">
                  <c:v>2019</c:v>
                </c:pt>
                <c:pt idx="1">
                  <c:v>2020</c:v>
                </c:pt>
                <c:pt idx="2">
                  <c:v>2021</c:v>
                </c:pt>
                <c:pt idx="3">
                  <c:v>2022</c:v>
                </c:pt>
                <c:pt idx="4">
                  <c:v>2023</c:v>
                </c:pt>
                <c:pt idx="5">
                  <c:v>2024</c:v>
                </c:pt>
              </c:strCache>
            </c:strRef>
          </c:cat>
          <c:val>
            <c:numRef>
              <c:f>'Profitability Trend Pivot'!$D$5:$D$11</c:f>
              <c:numCache>
                <c:formatCode>General</c:formatCode>
                <c:ptCount val="6"/>
                <c:pt idx="0">
                  <c:v>16.75</c:v>
                </c:pt>
                <c:pt idx="1">
                  <c:v>15.64</c:v>
                </c:pt>
                <c:pt idx="2">
                  <c:v>14.79</c:v>
                </c:pt>
                <c:pt idx="3">
                  <c:v>15.76</c:v>
                </c:pt>
                <c:pt idx="4">
                  <c:v>14.64</c:v>
                </c:pt>
                <c:pt idx="5">
                  <c:v>14.29</c:v>
                </c:pt>
              </c:numCache>
            </c:numRef>
          </c:val>
          <c:extLst>
            <c:ext xmlns:c16="http://schemas.microsoft.com/office/drawing/2014/chart" uri="{C3380CC4-5D6E-409C-BE32-E72D297353CC}">
              <c16:uniqueId val="{00000002-48D9-449A-8BE1-E2A4FB281E5C}"/>
            </c:ext>
          </c:extLst>
        </c:ser>
        <c:ser>
          <c:idx val="3"/>
          <c:order val="3"/>
          <c:tx>
            <c:strRef>
              <c:f>'Profitability Trend Pivot'!$E$3:$E$4</c:f>
              <c:strCache>
                <c:ptCount val="1"/>
                <c:pt idx="0">
                  <c:v>Wipro</c:v>
                </c:pt>
              </c:strCache>
            </c:strRef>
          </c:tx>
          <c:spPr>
            <a:solidFill>
              <a:schemeClr val="accent4">
                <a:tint val="77000"/>
              </a:schemeClr>
            </a:solidFill>
            <a:ln>
              <a:noFill/>
            </a:ln>
            <a:effectLst/>
          </c:spPr>
          <c:invertIfNegative val="0"/>
          <c:cat>
            <c:strRef>
              <c:f>'Profitability Trend Pivot'!$A$5:$A$11</c:f>
              <c:strCache>
                <c:ptCount val="6"/>
                <c:pt idx="0">
                  <c:v>2019</c:v>
                </c:pt>
                <c:pt idx="1">
                  <c:v>2020</c:v>
                </c:pt>
                <c:pt idx="2">
                  <c:v>2021</c:v>
                </c:pt>
                <c:pt idx="3">
                  <c:v>2022</c:v>
                </c:pt>
                <c:pt idx="4">
                  <c:v>2023</c:v>
                </c:pt>
                <c:pt idx="5">
                  <c:v>2024</c:v>
                </c:pt>
              </c:strCache>
            </c:strRef>
          </c:cat>
          <c:val>
            <c:numRef>
              <c:f>'Profitability Trend Pivot'!$E$5:$E$11</c:f>
              <c:numCache>
                <c:formatCode>General</c:formatCode>
                <c:ptCount val="6"/>
                <c:pt idx="0">
                  <c:v>15.26</c:v>
                </c:pt>
                <c:pt idx="1">
                  <c:v>15.9</c:v>
                </c:pt>
                <c:pt idx="2">
                  <c:v>17.43</c:v>
                </c:pt>
                <c:pt idx="3">
                  <c:v>15.42</c:v>
                </c:pt>
                <c:pt idx="4">
                  <c:v>12.54</c:v>
                </c:pt>
                <c:pt idx="5">
                  <c:v>12.31</c:v>
                </c:pt>
              </c:numCache>
            </c:numRef>
          </c:val>
          <c:extLst>
            <c:ext xmlns:c16="http://schemas.microsoft.com/office/drawing/2014/chart" uri="{C3380CC4-5D6E-409C-BE32-E72D297353CC}">
              <c16:uniqueId val="{00000003-48D9-449A-8BE1-E2A4FB281E5C}"/>
            </c:ext>
          </c:extLst>
        </c:ser>
        <c:ser>
          <c:idx val="4"/>
          <c:order val="4"/>
          <c:tx>
            <c:strRef>
              <c:f>'Profitability Trend Pivot'!$F$3:$F$4</c:f>
              <c:strCache>
                <c:ptCount val="1"/>
                <c:pt idx="0">
                  <c:v>Tech Mahindra</c:v>
                </c:pt>
              </c:strCache>
            </c:strRef>
          </c:tx>
          <c:spPr>
            <a:solidFill>
              <a:schemeClr val="accent4">
                <a:tint val="54000"/>
              </a:schemeClr>
            </a:solidFill>
            <a:ln>
              <a:noFill/>
            </a:ln>
            <a:effectLst/>
          </c:spPr>
          <c:invertIfNegative val="0"/>
          <c:cat>
            <c:strRef>
              <c:f>'Profitability Trend Pivot'!$A$5:$A$11</c:f>
              <c:strCache>
                <c:ptCount val="6"/>
                <c:pt idx="0">
                  <c:v>2019</c:v>
                </c:pt>
                <c:pt idx="1">
                  <c:v>2020</c:v>
                </c:pt>
                <c:pt idx="2">
                  <c:v>2021</c:v>
                </c:pt>
                <c:pt idx="3">
                  <c:v>2022</c:v>
                </c:pt>
                <c:pt idx="4">
                  <c:v>2023</c:v>
                </c:pt>
                <c:pt idx="5">
                  <c:v>2024</c:v>
                </c:pt>
              </c:strCache>
            </c:strRef>
          </c:cat>
          <c:val>
            <c:numRef>
              <c:f>'Profitability Trend Pivot'!$F$5:$F$11</c:f>
              <c:numCache>
                <c:formatCode>General</c:formatCode>
                <c:ptCount val="6"/>
                <c:pt idx="0">
                  <c:v>12.37</c:v>
                </c:pt>
                <c:pt idx="1">
                  <c:v>10.94</c:v>
                </c:pt>
                <c:pt idx="2">
                  <c:v>11.7</c:v>
                </c:pt>
                <c:pt idx="3">
                  <c:v>12.47</c:v>
                </c:pt>
                <c:pt idx="4">
                  <c:v>9.07</c:v>
                </c:pt>
                <c:pt idx="5">
                  <c:v>4.53</c:v>
                </c:pt>
              </c:numCache>
            </c:numRef>
          </c:val>
          <c:extLst>
            <c:ext xmlns:c16="http://schemas.microsoft.com/office/drawing/2014/chart" uri="{C3380CC4-5D6E-409C-BE32-E72D297353CC}">
              <c16:uniqueId val="{00000004-48D9-449A-8BE1-E2A4FB281E5C}"/>
            </c:ext>
          </c:extLst>
        </c:ser>
        <c:dLbls>
          <c:showLegendKey val="0"/>
          <c:showVal val="0"/>
          <c:showCatName val="0"/>
          <c:showSerName val="0"/>
          <c:showPercent val="0"/>
          <c:showBubbleSize val="0"/>
        </c:dLbls>
        <c:gapWidth val="219"/>
        <c:overlap val="-27"/>
        <c:axId val="1806126800"/>
        <c:axId val="1806128720"/>
      </c:barChart>
      <c:catAx>
        <c:axId val="180612680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Years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6128720"/>
        <c:crosses val="autoZero"/>
        <c:auto val="1"/>
        <c:lblAlgn val="ctr"/>
        <c:lblOffset val="100"/>
        <c:noMultiLvlLbl val="0"/>
      </c:catAx>
      <c:valAx>
        <c:axId val="180612872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Avg.</a:t>
                </a:r>
                <a:r>
                  <a:rPr lang="en-IN" baseline="0"/>
                  <a:t> Net profit margin </a:t>
                </a:r>
                <a:endParaRPr lang="en-IN"/>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61268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[SQL_Results.xlsx]Financial Health Pivot!PivotTable1</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ROE Over the Years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'Financial Health Pivot'!$B$3:$B$4</c:f>
              <c:strCache>
                <c:ptCount val="1"/>
                <c:pt idx="0">
                  <c:v>TCS</c:v>
                </c:pt>
              </c:strCache>
            </c:strRef>
          </c:tx>
          <c:spPr>
            <a:solidFill>
              <a:schemeClr val="accent2">
                <a:shade val="53000"/>
              </a:schemeClr>
            </a:solidFill>
            <a:ln>
              <a:noFill/>
            </a:ln>
            <a:effectLst/>
          </c:spPr>
          <c:invertIfNegative val="0"/>
          <c:cat>
            <c:strRef>
              <c:f>'Financial Health Pivot'!$A$5:$A$11</c:f>
              <c:strCache>
                <c:ptCount val="6"/>
                <c:pt idx="0">
                  <c:v>2019</c:v>
                </c:pt>
                <c:pt idx="1">
                  <c:v>2020</c:v>
                </c:pt>
                <c:pt idx="2">
                  <c:v>2021</c:v>
                </c:pt>
                <c:pt idx="3">
                  <c:v>2022</c:v>
                </c:pt>
                <c:pt idx="4">
                  <c:v>2023</c:v>
                </c:pt>
                <c:pt idx="5">
                  <c:v>2024</c:v>
                </c:pt>
              </c:strCache>
            </c:strRef>
          </c:cat>
          <c:val>
            <c:numRef>
              <c:f>'Financial Health Pivot'!$B$5:$B$11</c:f>
              <c:numCache>
                <c:formatCode>General</c:formatCode>
                <c:ptCount val="6"/>
                <c:pt idx="0">
                  <c:v>35.19</c:v>
                </c:pt>
                <c:pt idx="1">
                  <c:v>38.44</c:v>
                </c:pt>
                <c:pt idx="2">
                  <c:v>37.520000000000003</c:v>
                </c:pt>
                <c:pt idx="3">
                  <c:v>43</c:v>
                </c:pt>
                <c:pt idx="4">
                  <c:v>46.61</c:v>
                </c:pt>
                <c:pt idx="5">
                  <c:v>50.73</c:v>
                </c:pt>
              </c:numCache>
            </c:numRef>
          </c:val>
          <c:extLst>
            <c:ext xmlns:c16="http://schemas.microsoft.com/office/drawing/2014/chart" uri="{C3380CC4-5D6E-409C-BE32-E72D297353CC}">
              <c16:uniqueId val="{00000000-FD5A-4586-8F25-FCAC3F355F54}"/>
            </c:ext>
          </c:extLst>
        </c:ser>
        <c:ser>
          <c:idx val="1"/>
          <c:order val="1"/>
          <c:tx>
            <c:strRef>
              <c:f>'Financial Health Pivot'!$C$3:$C$4</c:f>
              <c:strCache>
                <c:ptCount val="1"/>
                <c:pt idx="0">
                  <c:v>Infosys</c:v>
                </c:pt>
              </c:strCache>
            </c:strRef>
          </c:tx>
          <c:spPr>
            <a:solidFill>
              <a:schemeClr val="accent2">
                <a:shade val="76000"/>
              </a:schemeClr>
            </a:solidFill>
            <a:ln>
              <a:noFill/>
            </a:ln>
            <a:effectLst/>
          </c:spPr>
          <c:invertIfNegative val="0"/>
          <c:cat>
            <c:strRef>
              <c:f>'Financial Health Pivot'!$A$5:$A$11</c:f>
              <c:strCache>
                <c:ptCount val="6"/>
                <c:pt idx="0">
                  <c:v>2019</c:v>
                </c:pt>
                <c:pt idx="1">
                  <c:v>2020</c:v>
                </c:pt>
                <c:pt idx="2">
                  <c:v>2021</c:v>
                </c:pt>
                <c:pt idx="3">
                  <c:v>2022</c:v>
                </c:pt>
                <c:pt idx="4">
                  <c:v>2023</c:v>
                </c:pt>
                <c:pt idx="5">
                  <c:v>2024</c:v>
                </c:pt>
              </c:strCache>
            </c:strRef>
          </c:cat>
          <c:val>
            <c:numRef>
              <c:f>'Financial Health Pivot'!$C$5:$C$11</c:f>
              <c:numCache>
                <c:formatCode>General</c:formatCode>
                <c:ptCount val="6"/>
                <c:pt idx="0">
                  <c:v>23.72</c:v>
                </c:pt>
                <c:pt idx="1">
                  <c:v>25.35</c:v>
                </c:pt>
                <c:pt idx="2">
                  <c:v>25.34</c:v>
                </c:pt>
                <c:pt idx="3">
                  <c:v>29.34</c:v>
                </c:pt>
                <c:pt idx="4">
                  <c:v>31.95</c:v>
                </c:pt>
                <c:pt idx="5">
                  <c:v>29.77</c:v>
                </c:pt>
              </c:numCache>
            </c:numRef>
          </c:val>
          <c:extLst>
            <c:ext xmlns:c16="http://schemas.microsoft.com/office/drawing/2014/chart" uri="{C3380CC4-5D6E-409C-BE32-E72D297353CC}">
              <c16:uniqueId val="{00000001-FD5A-4586-8F25-FCAC3F355F54}"/>
            </c:ext>
          </c:extLst>
        </c:ser>
        <c:ser>
          <c:idx val="2"/>
          <c:order val="2"/>
          <c:tx>
            <c:strRef>
              <c:f>'Financial Health Pivot'!$D$3:$D$4</c:f>
              <c:strCache>
                <c:ptCount val="1"/>
                <c:pt idx="0">
                  <c:v>HCL Tech</c:v>
                </c:pt>
              </c:strCache>
            </c:strRef>
          </c:tx>
          <c:spPr>
            <a:solidFill>
              <a:schemeClr val="accent2"/>
            </a:solidFill>
            <a:ln>
              <a:noFill/>
            </a:ln>
            <a:effectLst/>
          </c:spPr>
          <c:invertIfNegative val="0"/>
          <c:cat>
            <c:strRef>
              <c:f>'Financial Health Pivot'!$A$5:$A$11</c:f>
              <c:strCache>
                <c:ptCount val="6"/>
                <c:pt idx="0">
                  <c:v>2019</c:v>
                </c:pt>
                <c:pt idx="1">
                  <c:v>2020</c:v>
                </c:pt>
                <c:pt idx="2">
                  <c:v>2021</c:v>
                </c:pt>
                <c:pt idx="3">
                  <c:v>2022</c:v>
                </c:pt>
                <c:pt idx="4">
                  <c:v>2023</c:v>
                </c:pt>
                <c:pt idx="5">
                  <c:v>2024</c:v>
                </c:pt>
              </c:strCache>
            </c:strRef>
          </c:cat>
          <c:val>
            <c:numRef>
              <c:f>'Financial Health Pivot'!$D$5:$D$11</c:f>
              <c:numCache>
                <c:formatCode>General</c:formatCode>
                <c:ptCount val="6"/>
                <c:pt idx="0">
                  <c:v>24.46</c:v>
                </c:pt>
                <c:pt idx="1">
                  <c:v>21.57</c:v>
                </c:pt>
                <c:pt idx="2">
                  <c:v>18.600000000000001</c:v>
                </c:pt>
                <c:pt idx="3">
                  <c:v>21.8</c:v>
                </c:pt>
                <c:pt idx="4">
                  <c:v>22.71</c:v>
                </c:pt>
                <c:pt idx="5">
                  <c:v>23</c:v>
                </c:pt>
              </c:numCache>
            </c:numRef>
          </c:val>
          <c:extLst>
            <c:ext xmlns:c16="http://schemas.microsoft.com/office/drawing/2014/chart" uri="{C3380CC4-5D6E-409C-BE32-E72D297353CC}">
              <c16:uniqueId val="{00000002-FD5A-4586-8F25-FCAC3F355F54}"/>
            </c:ext>
          </c:extLst>
        </c:ser>
        <c:ser>
          <c:idx val="3"/>
          <c:order val="3"/>
          <c:tx>
            <c:strRef>
              <c:f>'Financial Health Pivot'!$E$3:$E$4</c:f>
              <c:strCache>
                <c:ptCount val="1"/>
                <c:pt idx="0">
                  <c:v>Tech Mahindra</c:v>
                </c:pt>
              </c:strCache>
            </c:strRef>
          </c:tx>
          <c:spPr>
            <a:solidFill>
              <a:schemeClr val="accent2">
                <a:tint val="77000"/>
              </a:schemeClr>
            </a:solidFill>
            <a:ln>
              <a:noFill/>
            </a:ln>
            <a:effectLst/>
          </c:spPr>
          <c:invertIfNegative val="0"/>
          <c:cat>
            <c:strRef>
              <c:f>'Financial Health Pivot'!$A$5:$A$11</c:f>
              <c:strCache>
                <c:ptCount val="6"/>
                <c:pt idx="0">
                  <c:v>2019</c:v>
                </c:pt>
                <c:pt idx="1">
                  <c:v>2020</c:v>
                </c:pt>
                <c:pt idx="2">
                  <c:v>2021</c:v>
                </c:pt>
                <c:pt idx="3">
                  <c:v>2022</c:v>
                </c:pt>
                <c:pt idx="4">
                  <c:v>2023</c:v>
                </c:pt>
                <c:pt idx="5">
                  <c:v>2024</c:v>
                </c:pt>
              </c:strCache>
            </c:strRef>
          </c:cat>
          <c:val>
            <c:numRef>
              <c:f>'Financial Health Pivot'!$E$5:$E$11</c:f>
              <c:numCache>
                <c:formatCode>General</c:formatCode>
                <c:ptCount val="6"/>
                <c:pt idx="0">
                  <c:v>21.19</c:v>
                </c:pt>
                <c:pt idx="1">
                  <c:v>18.489999999999998</c:v>
                </c:pt>
                <c:pt idx="2">
                  <c:v>17.809999999999999</c:v>
                </c:pt>
                <c:pt idx="3">
                  <c:v>20.7</c:v>
                </c:pt>
                <c:pt idx="4">
                  <c:v>17.3</c:v>
                </c:pt>
                <c:pt idx="5">
                  <c:v>8.84</c:v>
                </c:pt>
              </c:numCache>
            </c:numRef>
          </c:val>
          <c:extLst>
            <c:ext xmlns:c16="http://schemas.microsoft.com/office/drawing/2014/chart" uri="{C3380CC4-5D6E-409C-BE32-E72D297353CC}">
              <c16:uniqueId val="{00000003-FD5A-4586-8F25-FCAC3F355F54}"/>
            </c:ext>
          </c:extLst>
        </c:ser>
        <c:ser>
          <c:idx val="4"/>
          <c:order val="4"/>
          <c:tx>
            <c:strRef>
              <c:f>'Financial Health Pivot'!$F$3:$F$4</c:f>
              <c:strCache>
                <c:ptCount val="1"/>
                <c:pt idx="0">
                  <c:v>Wipro</c:v>
                </c:pt>
              </c:strCache>
            </c:strRef>
          </c:tx>
          <c:spPr>
            <a:solidFill>
              <a:schemeClr val="accent2">
                <a:tint val="54000"/>
              </a:schemeClr>
            </a:solidFill>
            <a:ln>
              <a:noFill/>
            </a:ln>
            <a:effectLst/>
          </c:spPr>
          <c:invertIfNegative val="0"/>
          <c:cat>
            <c:strRef>
              <c:f>'Financial Health Pivot'!$A$5:$A$11</c:f>
              <c:strCache>
                <c:ptCount val="6"/>
                <c:pt idx="0">
                  <c:v>2019</c:v>
                </c:pt>
                <c:pt idx="1">
                  <c:v>2020</c:v>
                </c:pt>
                <c:pt idx="2">
                  <c:v>2021</c:v>
                </c:pt>
                <c:pt idx="3">
                  <c:v>2022</c:v>
                </c:pt>
                <c:pt idx="4">
                  <c:v>2023</c:v>
                </c:pt>
                <c:pt idx="5">
                  <c:v>2024</c:v>
                </c:pt>
              </c:strCache>
            </c:strRef>
          </c:cat>
          <c:val>
            <c:numRef>
              <c:f>'Financial Health Pivot'!$F$5:$F$11</c:f>
              <c:numCache>
                <c:formatCode>General</c:formatCode>
                <c:ptCount val="6"/>
                <c:pt idx="0">
                  <c:v>15.96</c:v>
                </c:pt>
                <c:pt idx="1">
                  <c:v>17.57</c:v>
                </c:pt>
                <c:pt idx="2">
                  <c:v>19.670000000000002</c:v>
                </c:pt>
                <c:pt idx="3">
                  <c:v>18.7</c:v>
                </c:pt>
                <c:pt idx="4">
                  <c:v>14.61</c:v>
                </c:pt>
                <c:pt idx="5">
                  <c:v>14.73</c:v>
                </c:pt>
              </c:numCache>
            </c:numRef>
          </c:val>
          <c:extLst>
            <c:ext xmlns:c16="http://schemas.microsoft.com/office/drawing/2014/chart" uri="{C3380CC4-5D6E-409C-BE32-E72D297353CC}">
              <c16:uniqueId val="{00000004-FD5A-4586-8F25-FCAC3F355F54}"/>
            </c:ext>
          </c:extLst>
        </c:ser>
        <c:dLbls>
          <c:showLegendKey val="0"/>
          <c:showVal val="0"/>
          <c:showCatName val="0"/>
          <c:showSerName val="0"/>
          <c:showPercent val="0"/>
          <c:showBubbleSize val="0"/>
        </c:dLbls>
        <c:gapWidth val="182"/>
        <c:axId val="1363378080"/>
        <c:axId val="1363378560"/>
      </c:barChart>
      <c:catAx>
        <c:axId val="136337808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Years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63378560"/>
        <c:crosses val="autoZero"/>
        <c:auto val="1"/>
        <c:lblAlgn val="ctr"/>
        <c:lblOffset val="100"/>
        <c:noMultiLvlLbl val="0"/>
      </c:catAx>
      <c:valAx>
        <c:axId val="1363378560"/>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ROE%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6337808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[SQL_Results.xlsx]Financial Health Pivot!PivotTable2</c:name>
    <c:fmtId val="1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Debt-to-Equity</a:t>
            </a:r>
            <a:r>
              <a:rPr lang="en-IN" baseline="0"/>
              <a:t> over the years</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'Financial Health Pivot'!$B$33:$B$34</c:f>
              <c:strCache>
                <c:ptCount val="1"/>
                <c:pt idx="0">
                  <c:v>Wipro</c:v>
                </c:pt>
              </c:strCache>
            </c:strRef>
          </c:tx>
          <c:spPr>
            <a:solidFill>
              <a:schemeClr val="accent2">
                <a:shade val="53000"/>
              </a:schemeClr>
            </a:solidFill>
            <a:ln>
              <a:noFill/>
            </a:ln>
            <a:effectLst/>
          </c:spPr>
          <c:invertIfNegative val="0"/>
          <c:cat>
            <c:strRef>
              <c:f>'Financial Health Pivot'!$A$35:$A$41</c:f>
              <c:strCache>
                <c:ptCount val="6"/>
                <c:pt idx="0">
                  <c:v>2019</c:v>
                </c:pt>
                <c:pt idx="1">
                  <c:v>2020</c:v>
                </c:pt>
                <c:pt idx="2">
                  <c:v>2021</c:v>
                </c:pt>
                <c:pt idx="3">
                  <c:v>2022</c:v>
                </c:pt>
                <c:pt idx="4">
                  <c:v>2023</c:v>
                </c:pt>
                <c:pt idx="5">
                  <c:v>2024</c:v>
                </c:pt>
              </c:strCache>
            </c:strRef>
          </c:cat>
          <c:val>
            <c:numRef>
              <c:f>'Financial Health Pivot'!$B$35:$B$41</c:f>
              <c:numCache>
                <c:formatCode>General</c:formatCode>
                <c:ptCount val="6"/>
                <c:pt idx="0">
                  <c:v>0.18</c:v>
                </c:pt>
                <c:pt idx="1">
                  <c:v>0.18</c:v>
                </c:pt>
                <c:pt idx="2">
                  <c:v>0.19</c:v>
                </c:pt>
                <c:pt idx="3">
                  <c:v>0.27</c:v>
                </c:pt>
                <c:pt idx="4">
                  <c:v>0.22</c:v>
                </c:pt>
                <c:pt idx="5">
                  <c:v>0.22</c:v>
                </c:pt>
              </c:numCache>
            </c:numRef>
          </c:val>
          <c:extLst>
            <c:ext xmlns:c16="http://schemas.microsoft.com/office/drawing/2014/chart" uri="{C3380CC4-5D6E-409C-BE32-E72D297353CC}">
              <c16:uniqueId val="{00000000-9F8F-479B-B627-33D627E394C2}"/>
            </c:ext>
          </c:extLst>
        </c:ser>
        <c:ser>
          <c:idx val="1"/>
          <c:order val="1"/>
          <c:tx>
            <c:strRef>
              <c:f>'Financial Health Pivot'!$C$33:$C$34</c:f>
              <c:strCache>
                <c:ptCount val="1"/>
                <c:pt idx="0">
                  <c:v>Tech Mahindra</c:v>
                </c:pt>
              </c:strCache>
            </c:strRef>
          </c:tx>
          <c:spPr>
            <a:solidFill>
              <a:schemeClr val="accent2">
                <a:shade val="76000"/>
              </a:schemeClr>
            </a:solidFill>
            <a:ln>
              <a:noFill/>
            </a:ln>
            <a:effectLst/>
          </c:spPr>
          <c:invertIfNegative val="0"/>
          <c:cat>
            <c:strRef>
              <c:f>'Financial Health Pivot'!$A$35:$A$41</c:f>
              <c:strCache>
                <c:ptCount val="6"/>
                <c:pt idx="0">
                  <c:v>2019</c:v>
                </c:pt>
                <c:pt idx="1">
                  <c:v>2020</c:v>
                </c:pt>
                <c:pt idx="2">
                  <c:v>2021</c:v>
                </c:pt>
                <c:pt idx="3">
                  <c:v>2022</c:v>
                </c:pt>
                <c:pt idx="4">
                  <c:v>2023</c:v>
                </c:pt>
                <c:pt idx="5">
                  <c:v>2024</c:v>
                </c:pt>
              </c:strCache>
            </c:strRef>
          </c:cat>
          <c:val>
            <c:numRef>
              <c:f>'Financial Health Pivot'!$C$35:$C$41</c:f>
              <c:numCache>
                <c:formatCode>General</c:formatCode>
                <c:ptCount val="6"/>
                <c:pt idx="0">
                  <c:v>0.1</c:v>
                </c:pt>
                <c:pt idx="1">
                  <c:v>0.17</c:v>
                </c:pt>
                <c:pt idx="2">
                  <c:v>0.12</c:v>
                </c:pt>
                <c:pt idx="3">
                  <c:v>0.1</c:v>
                </c:pt>
                <c:pt idx="4">
                  <c:v>0.1</c:v>
                </c:pt>
                <c:pt idx="5">
                  <c:v>0.1</c:v>
                </c:pt>
              </c:numCache>
            </c:numRef>
          </c:val>
          <c:extLst>
            <c:ext xmlns:c16="http://schemas.microsoft.com/office/drawing/2014/chart" uri="{C3380CC4-5D6E-409C-BE32-E72D297353CC}">
              <c16:uniqueId val="{00000001-9F8F-479B-B627-33D627E394C2}"/>
            </c:ext>
          </c:extLst>
        </c:ser>
        <c:ser>
          <c:idx val="2"/>
          <c:order val="2"/>
          <c:tx>
            <c:strRef>
              <c:f>'Financial Health Pivot'!$D$33:$D$34</c:f>
              <c:strCache>
                <c:ptCount val="1"/>
                <c:pt idx="0">
                  <c:v>HCL Tech</c:v>
                </c:pt>
              </c:strCache>
            </c:strRef>
          </c:tx>
          <c:spPr>
            <a:solidFill>
              <a:schemeClr val="accent2"/>
            </a:solidFill>
            <a:ln>
              <a:noFill/>
            </a:ln>
            <a:effectLst/>
          </c:spPr>
          <c:invertIfNegative val="0"/>
          <c:cat>
            <c:strRef>
              <c:f>'Financial Health Pivot'!$A$35:$A$41</c:f>
              <c:strCache>
                <c:ptCount val="6"/>
                <c:pt idx="0">
                  <c:v>2019</c:v>
                </c:pt>
                <c:pt idx="1">
                  <c:v>2020</c:v>
                </c:pt>
                <c:pt idx="2">
                  <c:v>2021</c:v>
                </c:pt>
                <c:pt idx="3">
                  <c:v>2022</c:v>
                </c:pt>
                <c:pt idx="4">
                  <c:v>2023</c:v>
                </c:pt>
                <c:pt idx="5">
                  <c:v>2024</c:v>
                </c:pt>
              </c:strCache>
            </c:strRef>
          </c:cat>
          <c:val>
            <c:numRef>
              <c:f>'Financial Health Pivot'!$D$35:$D$41</c:f>
              <c:numCache>
                <c:formatCode>General</c:formatCode>
                <c:ptCount val="6"/>
                <c:pt idx="0">
                  <c:v>0.1</c:v>
                </c:pt>
                <c:pt idx="1">
                  <c:v>0.16</c:v>
                </c:pt>
                <c:pt idx="2">
                  <c:v>0.11</c:v>
                </c:pt>
                <c:pt idx="3">
                  <c:v>0.1</c:v>
                </c:pt>
                <c:pt idx="4">
                  <c:v>7.0000000000000007E-2</c:v>
                </c:pt>
                <c:pt idx="5">
                  <c:v>0.08</c:v>
                </c:pt>
              </c:numCache>
            </c:numRef>
          </c:val>
          <c:extLst>
            <c:ext xmlns:c16="http://schemas.microsoft.com/office/drawing/2014/chart" uri="{C3380CC4-5D6E-409C-BE32-E72D297353CC}">
              <c16:uniqueId val="{00000002-9F8F-479B-B627-33D627E394C2}"/>
            </c:ext>
          </c:extLst>
        </c:ser>
        <c:ser>
          <c:idx val="3"/>
          <c:order val="3"/>
          <c:tx>
            <c:strRef>
              <c:f>'Financial Health Pivot'!$E$33:$E$34</c:f>
              <c:strCache>
                <c:ptCount val="1"/>
                <c:pt idx="0">
                  <c:v>Infosys</c:v>
                </c:pt>
              </c:strCache>
            </c:strRef>
          </c:tx>
          <c:spPr>
            <a:solidFill>
              <a:schemeClr val="accent2">
                <a:tint val="77000"/>
              </a:schemeClr>
            </a:solidFill>
            <a:ln>
              <a:noFill/>
            </a:ln>
            <a:effectLst/>
          </c:spPr>
          <c:invertIfNegative val="0"/>
          <c:cat>
            <c:strRef>
              <c:f>'Financial Health Pivot'!$A$35:$A$41</c:f>
              <c:strCache>
                <c:ptCount val="6"/>
                <c:pt idx="0">
                  <c:v>2019</c:v>
                </c:pt>
                <c:pt idx="1">
                  <c:v>2020</c:v>
                </c:pt>
                <c:pt idx="2">
                  <c:v>2021</c:v>
                </c:pt>
                <c:pt idx="3">
                  <c:v>2022</c:v>
                </c:pt>
                <c:pt idx="4">
                  <c:v>2023</c:v>
                </c:pt>
                <c:pt idx="5">
                  <c:v>2024</c:v>
                </c:pt>
              </c:strCache>
            </c:strRef>
          </c:cat>
          <c:val>
            <c:numRef>
              <c:f>'Financial Health Pivot'!$E$35:$E$41</c:f>
              <c:numCache>
                <c:formatCode>General</c:formatCode>
                <c:ptCount val="6"/>
                <c:pt idx="0">
                  <c:v>7.0000000000000007E-2</c:v>
                </c:pt>
                <c:pt idx="1">
                  <c:v>7.0000000000000007E-2</c:v>
                </c:pt>
                <c:pt idx="2">
                  <c:v>7.0000000000000007E-2</c:v>
                </c:pt>
                <c:pt idx="3">
                  <c:v>7.0000000000000007E-2</c:v>
                </c:pt>
                <c:pt idx="4">
                  <c:v>0.11</c:v>
                </c:pt>
                <c:pt idx="5">
                  <c:v>0.09</c:v>
                </c:pt>
              </c:numCache>
            </c:numRef>
          </c:val>
          <c:extLst>
            <c:ext xmlns:c16="http://schemas.microsoft.com/office/drawing/2014/chart" uri="{C3380CC4-5D6E-409C-BE32-E72D297353CC}">
              <c16:uniqueId val="{00000003-9F8F-479B-B627-33D627E394C2}"/>
            </c:ext>
          </c:extLst>
        </c:ser>
        <c:ser>
          <c:idx val="4"/>
          <c:order val="4"/>
          <c:tx>
            <c:strRef>
              <c:f>'Financial Health Pivot'!$F$33:$F$34</c:f>
              <c:strCache>
                <c:ptCount val="1"/>
                <c:pt idx="0">
                  <c:v>TCS</c:v>
                </c:pt>
              </c:strCache>
            </c:strRef>
          </c:tx>
          <c:spPr>
            <a:solidFill>
              <a:schemeClr val="accent2">
                <a:tint val="54000"/>
              </a:schemeClr>
            </a:solidFill>
            <a:ln>
              <a:noFill/>
            </a:ln>
            <a:effectLst/>
          </c:spPr>
          <c:invertIfNegative val="0"/>
          <c:cat>
            <c:strRef>
              <c:f>'Financial Health Pivot'!$A$35:$A$41</c:f>
              <c:strCache>
                <c:ptCount val="6"/>
                <c:pt idx="0">
                  <c:v>2019</c:v>
                </c:pt>
                <c:pt idx="1">
                  <c:v>2020</c:v>
                </c:pt>
                <c:pt idx="2">
                  <c:v>2021</c:v>
                </c:pt>
                <c:pt idx="3">
                  <c:v>2022</c:v>
                </c:pt>
                <c:pt idx="4">
                  <c:v>2023</c:v>
                </c:pt>
                <c:pt idx="5">
                  <c:v>2024</c:v>
                </c:pt>
              </c:strCache>
            </c:strRef>
          </c:cat>
          <c:val>
            <c:numRef>
              <c:f>'Financial Health Pivot'!$F$35:$F$41</c:f>
              <c:numCache>
                <c:formatCode>General</c:formatCode>
                <c:ptCount val="6"/>
                <c:pt idx="0">
                  <c:v>0</c:v>
                </c:pt>
                <c:pt idx="1">
                  <c:v>0.1</c:v>
                </c:pt>
                <c:pt idx="2">
                  <c:v>0.09</c:v>
                </c:pt>
                <c:pt idx="3">
                  <c:v>0.09</c:v>
                </c:pt>
                <c:pt idx="4">
                  <c:v>0.09</c:v>
                </c:pt>
                <c:pt idx="5">
                  <c:v>0.09</c:v>
                </c:pt>
              </c:numCache>
            </c:numRef>
          </c:val>
          <c:extLst>
            <c:ext xmlns:c16="http://schemas.microsoft.com/office/drawing/2014/chart" uri="{C3380CC4-5D6E-409C-BE32-E72D297353CC}">
              <c16:uniqueId val="{00000004-9F8F-479B-B627-33D627E394C2}"/>
            </c:ext>
          </c:extLst>
        </c:ser>
        <c:dLbls>
          <c:showLegendKey val="0"/>
          <c:showVal val="0"/>
          <c:showCatName val="0"/>
          <c:showSerName val="0"/>
          <c:showPercent val="0"/>
          <c:showBubbleSize val="0"/>
        </c:dLbls>
        <c:gapWidth val="182"/>
        <c:axId val="1533491296"/>
        <c:axId val="1533492256"/>
      </c:barChart>
      <c:catAx>
        <c:axId val="1533491296"/>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Years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33492256"/>
        <c:crosses val="autoZero"/>
        <c:auto val="1"/>
        <c:lblAlgn val="ctr"/>
        <c:lblOffset val="100"/>
        <c:noMultiLvlLbl val="0"/>
      </c:catAx>
      <c:valAx>
        <c:axId val="1533492256"/>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Debt-to-Equity</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3349129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[SQL_Results.xlsx]Market Position Pivot!PivotTable3</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Revenue Market Share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'Market Position Pivot'!$B$3:$B$4</c:f>
              <c:strCache>
                <c:ptCount val="1"/>
                <c:pt idx="0">
                  <c:v>HCL Tech</c:v>
                </c:pt>
              </c:strCache>
            </c:strRef>
          </c:tx>
          <c:spPr>
            <a:solidFill>
              <a:schemeClr val="accent1"/>
            </a:solidFill>
            <a:ln>
              <a:noFill/>
            </a:ln>
            <a:effectLst/>
          </c:spPr>
          <c:invertIfNegative val="0"/>
          <c:cat>
            <c:strRef>
              <c:f>'Market Position Pivot'!$A$5:$A$11</c:f>
              <c:strCache>
                <c:ptCount val="6"/>
                <c:pt idx="0">
                  <c:v>2019</c:v>
                </c:pt>
                <c:pt idx="1">
                  <c:v>2020</c:v>
                </c:pt>
                <c:pt idx="2">
                  <c:v>2021</c:v>
                </c:pt>
                <c:pt idx="3">
                  <c:v>2022</c:v>
                </c:pt>
                <c:pt idx="4">
                  <c:v>2023</c:v>
                </c:pt>
                <c:pt idx="5">
                  <c:v>2024</c:v>
                </c:pt>
              </c:strCache>
            </c:strRef>
          </c:cat>
          <c:val>
            <c:numRef>
              <c:f>'Market Position Pivot'!$B$5:$B$11</c:f>
              <c:numCache>
                <c:formatCode>General</c:formatCode>
                <c:ptCount val="6"/>
                <c:pt idx="0">
                  <c:v>15.76</c:v>
                </c:pt>
                <c:pt idx="1">
                  <c:v>16.97</c:v>
                </c:pt>
                <c:pt idx="2">
                  <c:v>17.14</c:v>
                </c:pt>
                <c:pt idx="3">
                  <c:v>16.38</c:v>
                </c:pt>
                <c:pt idx="4">
                  <c:v>16.43</c:v>
                </c:pt>
                <c:pt idx="5">
                  <c:v>17.010000000000002</c:v>
                </c:pt>
              </c:numCache>
            </c:numRef>
          </c:val>
          <c:extLst>
            <c:ext xmlns:c16="http://schemas.microsoft.com/office/drawing/2014/chart" uri="{C3380CC4-5D6E-409C-BE32-E72D297353CC}">
              <c16:uniqueId val="{00000000-D76C-4437-AD3F-AF808C5FC5A2}"/>
            </c:ext>
          </c:extLst>
        </c:ser>
        <c:ser>
          <c:idx val="1"/>
          <c:order val="1"/>
          <c:tx>
            <c:strRef>
              <c:f>'Market Position Pivot'!$C$3:$C$4</c:f>
              <c:strCache>
                <c:ptCount val="1"/>
                <c:pt idx="0">
                  <c:v>Infosys</c:v>
                </c:pt>
              </c:strCache>
            </c:strRef>
          </c:tx>
          <c:spPr>
            <a:solidFill>
              <a:schemeClr val="accent2"/>
            </a:solidFill>
            <a:ln>
              <a:noFill/>
            </a:ln>
            <a:effectLst/>
          </c:spPr>
          <c:invertIfNegative val="0"/>
          <c:cat>
            <c:strRef>
              <c:f>'Market Position Pivot'!$A$5:$A$11</c:f>
              <c:strCache>
                <c:ptCount val="6"/>
                <c:pt idx="0">
                  <c:v>2019</c:v>
                </c:pt>
                <c:pt idx="1">
                  <c:v>2020</c:v>
                </c:pt>
                <c:pt idx="2">
                  <c:v>2021</c:v>
                </c:pt>
                <c:pt idx="3">
                  <c:v>2022</c:v>
                </c:pt>
                <c:pt idx="4">
                  <c:v>2023</c:v>
                </c:pt>
                <c:pt idx="5">
                  <c:v>2024</c:v>
                </c:pt>
              </c:strCache>
            </c:strRef>
          </c:cat>
          <c:val>
            <c:numRef>
              <c:f>'Market Position Pivot'!$C$5:$C$11</c:f>
              <c:numCache>
                <c:formatCode>General</c:formatCode>
                <c:ptCount val="6"/>
                <c:pt idx="0">
                  <c:v>21.57</c:v>
                </c:pt>
                <c:pt idx="1">
                  <c:v>21.8</c:v>
                </c:pt>
                <c:pt idx="2">
                  <c:v>22.84</c:v>
                </c:pt>
                <c:pt idx="3">
                  <c:v>23.26</c:v>
                </c:pt>
                <c:pt idx="4">
                  <c:v>23.77</c:v>
                </c:pt>
                <c:pt idx="5">
                  <c:v>23.78</c:v>
                </c:pt>
              </c:numCache>
            </c:numRef>
          </c:val>
          <c:extLst>
            <c:ext xmlns:c16="http://schemas.microsoft.com/office/drawing/2014/chart" uri="{C3380CC4-5D6E-409C-BE32-E72D297353CC}">
              <c16:uniqueId val="{00000001-D76C-4437-AD3F-AF808C5FC5A2}"/>
            </c:ext>
          </c:extLst>
        </c:ser>
        <c:ser>
          <c:idx val="2"/>
          <c:order val="2"/>
          <c:tx>
            <c:strRef>
              <c:f>'Market Position Pivot'!$D$3:$D$4</c:f>
              <c:strCache>
                <c:ptCount val="1"/>
                <c:pt idx="0">
                  <c:v>TCS</c:v>
                </c:pt>
              </c:strCache>
            </c:strRef>
          </c:tx>
          <c:spPr>
            <a:solidFill>
              <a:schemeClr val="accent3"/>
            </a:solidFill>
            <a:ln>
              <a:noFill/>
            </a:ln>
            <a:effectLst/>
          </c:spPr>
          <c:invertIfNegative val="0"/>
          <c:cat>
            <c:strRef>
              <c:f>'Market Position Pivot'!$A$5:$A$11</c:f>
              <c:strCache>
                <c:ptCount val="6"/>
                <c:pt idx="0">
                  <c:v>2019</c:v>
                </c:pt>
                <c:pt idx="1">
                  <c:v>2020</c:v>
                </c:pt>
                <c:pt idx="2">
                  <c:v>2021</c:v>
                </c:pt>
                <c:pt idx="3">
                  <c:v>2022</c:v>
                </c:pt>
                <c:pt idx="4">
                  <c:v>2023</c:v>
                </c:pt>
                <c:pt idx="5">
                  <c:v>2024</c:v>
                </c:pt>
              </c:strCache>
            </c:strRef>
          </c:cat>
          <c:val>
            <c:numRef>
              <c:f>'Market Position Pivot'!$D$5:$D$11</c:f>
              <c:numCache>
                <c:formatCode>General</c:formatCode>
                <c:ptCount val="6"/>
                <c:pt idx="0">
                  <c:v>38.21</c:v>
                </c:pt>
                <c:pt idx="1">
                  <c:v>37.69</c:v>
                </c:pt>
                <c:pt idx="2">
                  <c:v>37.33</c:v>
                </c:pt>
                <c:pt idx="3">
                  <c:v>36.659999999999997</c:v>
                </c:pt>
                <c:pt idx="4">
                  <c:v>36.51</c:v>
                </c:pt>
                <c:pt idx="5">
                  <c:v>37.28</c:v>
                </c:pt>
              </c:numCache>
            </c:numRef>
          </c:val>
          <c:extLst>
            <c:ext xmlns:c16="http://schemas.microsoft.com/office/drawing/2014/chart" uri="{C3380CC4-5D6E-409C-BE32-E72D297353CC}">
              <c16:uniqueId val="{00000002-D76C-4437-AD3F-AF808C5FC5A2}"/>
            </c:ext>
          </c:extLst>
        </c:ser>
        <c:ser>
          <c:idx val="3"/>
          <c:order val="3"/>
          <c:tx>
            <c:strRef>
              <c:f>'Market Position Pivot'!$E$3:$E$4</c:f>
              <c:strCache>
                <c:ptCount val="1"/>
                <c:pt idx="0">
                  <c:v>Tech Mahindra</c:v>
                </c:pt>
              </c:strCache>
            </c:strRef>
          </c:tx>
          <c:spPr>
            <a:solidFill>
              <a:schemeClr val="accent4"/>
            </a:solidFill>
            <a:ln>
              <a:noFill/>
            </a:ln>
            <a:effectLst/>
          </c:spPr>
          <c:invertIfNegative val="0"/>
          <c:cat>
            <c:strRef>
              <c:f>'Market Position Pivot'!$A$5:$A$11</c:f>
              <c:strCache>
                <c:ptCount val="6"/>
                <c:pt idx="0">
                  <c:v>2019</c:v>
                </c:pt>
                <c:pt idx="1">
                  <c:v>2020</c:v>
                </c:pt>
                <c:pt idx="2">
                  <c:v>2021</c:v>
                </c:pt>
                <c:pt idx="3">
                  <c:v>2022</c:v>
                </c:pt>
                <c:pt idx="4">
                  <c:v>2023</c:v>
                </c:pt>
                <c:pt idx="5">
                  <c:v>2024</c:v>
                </c:pt>
              </c:strCache>
            </c:strRef>
          </c:cat>
          <c:val>
            <c:numRef>
              <c:f>'Market Position Pivot'!$E$5:$E$11</c:f>
              <c:numCache>
                <c:formatCode>General</c:formatCode>
                <c:ptCount val="6"/>
                <c:pt idx="0">
                  <c:v>9.06</c:v>
                </c:pt>
                <c:pt idx="1">
                  <c:v>8.85</c:v>
                </c:pt>
                <c:pt idx="2">
                  <c:v>8.61</c:v>
                </c:pt>
                <c:pt idx="3">
                  <c:v>8.5399999999999991</c:v>
                </c:pt>
                <c:pt idx="4">
                  <c:v>8.6300000000000008</c:v>
                </c:pt>
                <c:pt idx="5">
                  <c:v>8.0500000000000007</c:v>
                </c:pt>
              </c:numCache>
            </c:numRef>
          </c:val>
          <c:extLst>
            <c:ext xmlns:c16="http://schemas.microsoft.com/office/drawing/2014/chart" uri="{C3380CC4-5D6E-409C-BE32-E72D297353CC}">
              <c16:uniqueId val="{00000003-D76C-4437-AD3F-AF808C5FC5A2}"/>
            </c:ext>
          </c:extLst>
        </c:ser>
        <c:ser>
          <c:idx val="4"/>
          <c:order val="4"/>
          <c:tx>
            <c:strRef>
              <c:f>'Market Position Pivot'!$F$3:$F$4</c:f>
              <c:strCache>
                <c:ptCount val="1"/>
                <c:pt idx="0">
                  <c:v>Wipro</c:v>
                </c:pt>
              </c:strCache>
            </c:strRef>
          </c:tx>
          <c:spPr>
            <a:solidFill>
              <a:schemeClr val="accent5"/>
            </a:solidFill>
            <a:ln>
              <a:noFill/>
            </a:ln>
            <a:effectLst/>
          </c:spPr>
          <c:invertIfNegative val="0"/>
          <c:cat>
            <c:strRef>
              <c:f>'Market Position Pivot'!$A$5:$A$11</c:f>
              <c:strCache>
                <c:ptCount val="6"/>
                <c:pt idx="0">
                  <c:v>2019</c:v>
                </c:pt>
                <c:pt idx="1">
                  <c:v>2020</c:v>
                </c:pt>
                <c:pt idx="2">
                  <c:v>2021</c:v>
                </c:pt>
                <c:pt idx="3">
                  <c:v>2022</c:v>
                </c:pt>
                <c:pt idx="4">
                  <c:v>2023</c:v>
                </c:pt>
                <c:pt idx="5">
                  <c:v>2024</c:v>
                </c:pt>
              </c:strCache>
            </c:strRef>
          </c:cat>
          <c:val>
            <c:numRef>
              <c:f>'Market Position Pivot'!$F$5:$F$11</c:f>
              <c:numCache>
                <c:formatCode>General</c:formatCode>
                <c:ptCount val="6"/>
                <c:pt idx="0">
                  <c:v>15.4</c:v>
                </c:pt>
                <c:pt idx="1">
                  <c:v>14.68</c:v>
                </c:pt>
                <c:pt idx="2">
                  <c:v>14.08</c:v>
                </c:pt>
                <c:pt idx="3">
                  <c:v>15.16</c:v>
                </c:pt>
                <c:pt idx="4">
                  <c:v>14.65</c:v>
                </c:pt>
                <c:pt idx="5">
                  <c:v>13.89</c:v>
                </c:pt>
              </c:numCache>
            </c:numRef>
          </c:val>
          <c:extLst>
            <c:ext xmlns:c16="http://schemas.microsoft.com/office/drawing/2014/chart" uri="{C3380CC4-5D6E-409C-BE32-E72D297353CC}">
              <c16:uniqueId val="{00000004-D76C-4437-AD3F-AF808C5FC5A2}"/>
            </c:ext>
          </c:extLst>
        </c:ser>
        <c:dLbls>
          <c:showLegendKey val="0"/>
          <c:showVal val="0"/>
          <c:showCatName val="0"/>
          <c:showSerName val="0"/>
          <c:showPercent val="0"/>
          <c:showBubbleSize val="0"/>
        </c:dLbls>
        <c:gapWidth val="150"/>
        <c:overlap val="100"/>
        <c:axId val="1480970960"/>
        <c:axId val="1480973360"/>
      </c:barChart>
      <c:catAx>
        <c:axId val="148097096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Years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80973360"/>
        <c:crosses val="autoZero"/>
        <c:auto val="1"/>
        <c:lblAlgn val="ctr"/>
        <c:lblOffset val="100"/>
        <c:noMultiLvlLbl val="0"/>
      </c:catAx>
      <c:valAx>
        <c:axId val="148097336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Revenue</a:t>
                </a:r>
                <a:r>
                  <a:rPr lang="en-IN" baseline="0"/>
                  <a:t> Mkt Share</a:t>
                </a:r>
                <a:endParaRPr lang="en-IN"/>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8097096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[SQL_Results.xlsx]Liquidity Pivot Table!PivotTable4</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Cash Ratio over the Years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'Liquidity Pivot Table'!$B$3:$B$4</c:f>
              <c:strCache>
                <c:ptCount val="1"/>
                <c:pt idx="0">
                  <c:v>HCL Tech</c:v>
                </c:pt>
              </c:strCache>
            </c:strRef>
          </c:tx>
          <c:spPr>
            <a:ln w="28575" cap="rnd">
              <a:solidFill>
                <a:schemeClr val="accent1"/>
              </a:solidFill>
              <a:round/>
            </a:ln>
            <a:effectLst/>
          </c:spPr>
          <c:marker>
            <c:symbol val="none"/>
          </c:marker>
          <c:cat>
            <c:strRef>
              <c:f>'Liquidity Pivot Table'!$A$5:$A$11</c:f>
              <c:strCache>
                <c:ptCount val="6"/>
                <c:pt idx="0">
                  <c:v>2019</c:v>
                </c:pt>
                <c:pt idx="1">
                  <c:v>2020</c:v>
                </c:pt>
                <c:pt idx="2">
                  <c:v>2021</c:v>
                </c:pt>
                <c:pt idx="3">
                  <c:v>2022</c:v>
                </c:pt>
                <c:pt idx="4">
                  <c:v>2023</c:v>
                </c:pt>
                <c:pt idx="5">
                  <c:v>2024</c:v>
                </c:pt>
              </c:strCache>
            </c:strRef>
          </c:cat>
          <c:val>
            <c:numRef>
              <c:f>'Liquidity Pivot Table'!$B$5:$B$11</c:f>
              <c:numCache>
                <c:formatCode>General</c:formatCode>
                <c:ptCount val="6"/>
                <c:pt idx="0">
                  <c:v>0.13</c:v>
                </c:pt>
                <c:pt idx="1">
                  <c:v>0.06</c:v>
                </c:pt>
                <c:pt idx="2">
                  <c:v>0.1</c:v>
                </c:pt>
                <c:pt idx="3">
                  <c:v>0.14000000000000001</c:v>
                </c:pt>
                <c:pt idx="4">
                  <c:v>0.16</c:v>
                </c:pt>
                <c:pt idx="5">
                  <c:v>0.2</c:v>
                </c:pt>
              </c:numCache>
            </c:numRef>
          </c:val>
          <c:smooth val="0"/>
          <c:extLst>
            <c:ext xmlns:c16="http://schemas.microsoft.com/office/drawing/2014/chart" uri="{C3380CC4-5D6E-409C-BE32-E72D297353CC}">
              <c16:uniqueId val="{00000000-8EE3-4FA7-BCA6-69766A816A75}"/>
            </c:ext>
          </c:extLst>
        </c:ser>
        <c:ser>
          <c:idx val="1"/>
          <c:order val="1"/>
          <c:tx>
            <c:strRef>
              <c:f>'Liquidity Pivot Table'!$C$3:$C$4</c:f>
              <c:strCache>
                <c:ptCount val="1"/>
                <c:pt idx="0">
                  <c:v>Infosys</c:v>
                </c:pt>
              </c:strCache>
            </c:strRef>
          </c:tx>
          <c:spPr>
            <a:ln w="28575" cap="rnd">
              <a:solidFill>
                <a:schemeClr val="accent2"/>
              </a:solidFill>
              <a:round/>
            </a:ln>
            <a:effectLst/>
          </c:spPr>
          <c:marker>
            <c:symbol val="none"/>
          </c:marker>
          <c:cat>
            <c:strRef>
              <c:f>'Liquidity Pivot Table'!$A$5:$A$11</c:f>
              <c:strCache>
                <c:ptCount val="6"/>
                <c:pt idx="0">
                  <c:v>2019</c:v>
                </c:pt>
                <c:pt idx="1">
                  <c:v>2020</c:v>
                </c:pt>
                <c:pt idx="2">
                  <c:v>2021</c:v>
                </c:pt>
                <c:pt idx="3">
                  <c:v>2022</c:v>
                </c:pt>
                <c:pt idx="4">
                  <c:v>2023</c:v>
                </c:pt>
                <c:pt idx="5">
                  <c:v>2024</c:v>
                </c:pt>
              </c:strCache>
            </c:strRef>
          </c:cat>
          <c:val>
            <c:numRef>
              <c:f>'Liquidity Pivot Table'!$C$5:$C$11</c:f>
              <c:numCache>
                <c:formatCode>General</c:formatCode>
                <c:ptCount val="6"/>
                <c:pt idx="0">
                  <c:v>0.23</c:v>
                </c:pt>
                <c:pt idx="1">
                  <c:v>0.2</c:v>
                </c:pt>
                <c:pt idx="2">
                  <c:v>0.23</c:v>
                </c:pt>
                <c:pt idx="3">
                  <c:v>0.15</c:v>
                </c:pt>
                <c:pt idx="4">
                  <c:v>0.1</c:v>
                </c:pt>
                <c:pt idx="5">
                  <c:v>0.11</c:v>
                </c:pt>
              </c:numCache>
            </c:numRef>
          </c:val>
          <c:smooth val="0"/>
          <c:extLst>
            <c:ext xmlns:c16="http://schemas.microsoft.com/office/drawing/2014/chart" uri="{C3380CC4-5D6E-409C-BE32-E72D297353CC}">
              <c16:uniqueId val="{00000001-8EE3-4FA7-BCA6-69766A816A75}"/>
            </c:ext>
          </c:extLst>
        </c:ser>
        <c:ser>
          <c:idx val="2"/>
          <c:order val="2"/>
          <c:tx>
            <c:strRef>
              <c:f>'Liquidity Pivot Table'!$D$3:$D$4</c:f>
              <c:strCache>
                <c:ptCount val="1"/>
                <c:pt idx="0">
                  <c:v>TCS</c:v>
                </c:pt>
              </c:strCache>
            </c:strRef>
          </c:tx>
          <c:spPr>
            <a:ln w="28575" cap="rnd">
              <a:solidFill>
                <a:schemeClr val="accent3"/>
              </a:solidFill>
              <a:round/>
            </a:ln>
            <a:effectLst/>
          </c:spPr>
          <c:marker>
            <c:symbol val="none"/>
          </c:marker>
          <c:cat>
            <c:strRef>
              <c:f>'Liquidity Pivot Table'!$A$5:$A$11</c:f>
              <c:strCache>
                <c:ptCount val="6"/>
                <c:pt idx="0">
                  <c:v>2019</c:v>
                </c:pt>
                <c:pt idx="1">
                  <c:v>2020</c:v>
                </c:pt>
                <c:pt idx="2">
                  <c:v>2021</c:v>
                </c:pt>
                <c:pt idx="3">
                  <c:v>2022</c:v>
                </c:pt>
                <c:pt idx="4">
                  <c:v>2023</c:v>
                </c:pt>
                <c:pt idx="5">
                  <c:v>2024</c:v>
                </c:pt>
              </c:strCache>
            </c:strRef>
          </c:cat>
          <c:val>
            <c:numRef>
              <c:f>'Liquidity Pivot Table'!$D$5:$D$11</c:f>
              <c:numCache>
                <c:formatCode>General</c:formatCode>
                <c:ptCount val="6"/>
                <c:pt idx="0">
                  <c:v>0.11</c:v>
                </c:pt>
                <c:pt idx="1">
                  <c:v>0.08</c:v>
                </c:pt>
                <c:pt idx="2">
                  <c:v>7.0000000000000007E-2</c:v>
                </c:pt>
                <c:pt idx="3">
                  <c:v>0.13</c:v>
                </c:pt>
                <c:pt idx="4">
                  <c:v>0.08</c:v>
                </c:pt>
                <c:pt idx="5">
                  <c:v>0.09</c:v>
                </c:pt>
              </c:numCache>
            </c:numRef>
          </c:val>
          <c:smooth val="0"/>
          <c:extLst>
            <c:ext xmlns:c16="http://schemas.microsoft.com/office/drawing/2014/chart" uri="{C3380CC4-5D6E-409C-BE32-E72D297353CC}">
              <c16:uniqueId val="{00000002-8EE3-4FA7-BCA6-69766A816A75}"/>
            </c:ext>
          </c:extLst>
        </c:ser>
        <c:ser>
          <c:idx val="3"/>
          <c:order val="3"/>
          <c:tx>
            <c:strRef>
              <c:f>'Liquidity Pivot Table'!$E$3:$E$4</c:f>
              <c:strCache>
                <c:ptCount val="1"/>
                <c:pt idx="0">
                  <c:v>Tech Mahindra</c:v>
                </c:pt>
              </c:strCache>
            </c:strRef>
          </c:tx>
          <c:spPr>
            <a:ln w="28575" cap="rnd">
              <a:solidFill>
                <a:schemeClr val="accent4"/>
              </a:solidFill>
              <a:round/>
            </a:ln>
            <a:effectLst/>
          </c:spPr>
          <c:marker>
            <c:symbol val="none"/>
          </c:marker>
          <c:cat>
            <c:strRef>
              <c:f>'Liquidity Pivot Table'!$A$5:$A$11</c:f>
              <c:strCache>
                <c:ptCount val="6"/>
                <c:pt idx="0">
                  <c:v>2019</c:v>
                </c:pt>
                <c:pt idx="1">
                  <c:v>2020</c:v>
                </c:pt>
                <c:pt idx="2">
                  <c:v>2021</c:v>
                </c:pt>
                <c:pt idx="3">
                  <c:v>2022</c:v>
                </c:pt>
                <c:pt idx="4">
                  <c:v>2023</c:v>
                </c:pt>
                <c:pt idx="5">
                  <c:v>2024</c:v>
                </c:pt>
              </c:strCache>
            </c:strRef>
          </c:cat>
          <c:val>
            <c:numRef>
              <c:f>'Liquidity Pivot Table'!$E$5:$E$11</c:f>
              <c:numCache>
                <c:formatCode>General</c:formatCode>
                <c:ptCount val="6"/>
                <c:pt idx="0">
                  <c:v>7.0000000000000007E-2</c:v>
                </c:pt>
                <c:pt idx="1">
                  <c:v>0.08</c:v>
                </c:pt>
                <c:pt idx="2">
                  <c:v>7.0000000000000007E-2</c:v>
                </c:pt>
                <c:pt idx="3">
                  <c:v>0.09</c:v>
                </c:pt>
                <c:pt idx="4">
                  <c:v>0.09</c:v>
                </c:pt>
                <c:pt idx="5">
                  <c:v>0.11</c:v>
                </c:pt>
              </c:numCache>
            </c:numRef>
          </c:val>
          <c:smooth val="0"/>
          <c:extLst>
            <c:ext xmlns:c16="http://schemas.microsoft.com/office/drawing/2014/chart" uri="{C3380CC4-5D6E-409C-BE32-E72D297353CC}">
              <c16:uniqueId val="{00000003-8EE3-4FA7-BCA6-69766A816A75}"/>
            </c:ext>
          </c:extLst>
        </c:ser>
        <c:ser>
          <c:idx val="4"/>
          <c:order val="4"/>
          <c:tx>
            <c:strRef>
              <c:f>'Liquidity Pivot Table'!$F$3:$F$4</c:f>
              <c:strCache>
                <c:ptCount val="1"/>
                <c:pt idx="0">
                  <c:v>Wipro</c:v>
                </c:pt>
              </c:strCache>
            </c:strRef>
          </c:tx>
          <c:spPr>
            <a:ln w="28575" cap="rnd">
              <a:solidFill>
                <a:schemeClr val="accent5"/>
              </a:solidFill>
              <a:round/>
            </a:ln>
            <a:effectLst/>
          </c:spPr>
          <c:marker>
            <c:symbol val="none"/>
          </c:marker>
          <c:cat>
            <c:strRef>
              <c:f>'Liquidity Pivot Table'!$A$5:$A$11</c:f>
              <c:strCache>
                <c:ptCount val="6"/>
                <c:pt idx="0">
                  <c:v>2019</c:v>
                </c:pt>
                <c:pt idx="1">
                  <c:v>2020</c:v>
                </c:pt>
                <c:pt idx="2">
                  <c:v>2021</c:v>
                </c:pt>
                <c:pt idx="3">
                  <c:v>2022</c:v>
                </c:pt>
                <c:pt idx="4">
                  <c:v>2023</c:v>
                </c:pt>
                <c:pt idx="5">
                  <c:v>2024</c:v>
                </c:pt>
              </c:strCache>
            </c:strRef>
          </c:cat>
          <c:val>
            <c:numRef>
              <c:f>'Liquidity Pivot Table'!$F$5:$F$11</c:f>
              <c:numCache>
                <c:formatCode>General</c:formatCode>
                <c:ptCount val="6"/>
                <c:pt idx="0">
                  <c:v>0.19</c:v>
                </c:pt>
                <c:pt idx="1">
                  <c:v>0.18</c:v>
                </c:pt>
                <c:pt idx="2">
                  <c:v>0.21</c:v>
                </c:pt>
                <c:pt idx="3">
                  <c:v>0.1</c:v>
                </c:pt>
                <c:pt idx="4">
                  <c:v>0.08</c:v>
                </c:pt>
                <c:pt idx="5">
                  <c:v>0.08</c:v>
                </c:pt>
              </c:numCache>
            </c:numRef>
          </c:val>
          <c:smooth val="0"/>
          <c:extLst>
            <c:ext xmlns:c16="http://schemas.microsoft.com/office/drawing/2014/chart" uri="{C3380CC4-5D6E-409C-BE32-E72D297353CC}">
              <c16:uniqueId val="{00000004-8EE3-4FA7-BCA6-69766A816A75}"/>
            </c:ext>
          </c:extLst>
        </c:ser>
        <c:dLbls>
          <c:showLegendKey val="0"/>
          <c:showVal val="0"/>
          <c:showCatName val="0"/>
          <c:showSerName val="0"/>
          <c:showPercent val="0"/>
          <c:showBubbleSize val="0"/>
        </c:dLbls>
        <c:smooth val="0"/>
        <c:axId val="1369860560"/>
        <c:axId val="1369861040"/>
      </c:lineChart>
      <c:catAx>
        <c:axId val="136986056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Years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69861040"/>
        <c:crosses val="autoZero"/>
        <c:auto val="1"/>
        <c:lblAlgn val="ctr"/>
        <c:lblOffset val="100"/>
        <c:noMultiLvlLbl val="0"/>
      </c:catAx>
      <c:valAx>
        <c:axId val="136986104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Cash</a:t>
                </a:r>
                <a:r>
                  <a:rPr lang="en-IN" baseline="0"/>
                  <a:t> Ratio</a:t>
                </a:r>
                <a:endParaRPr lang="en-IN"/>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6986056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7">
  <a:schemeClr val="accent4"/>
</cs:colorStyle>
</file>

<file path=xl/charts/colors2.xml><?xml version="1.0" encoding="utf-8"?>
<cs:colorStyle xmlns:cs="http://schemas.microsoft.com/office/drawing/2012/chartStyle" xmlns:a="http://schemas.openxmlformats.org/drawingml/2006/main" meth="withinLinear" id="15">
  <a:schemeClr val="accent2"/>
</cs:colorStyle>
</file>

<file path=xl/charts/colors3.xml><?xml version="1.0" encoding="utf-8"?>
<cs:colorStyle xmlns:cs="http://schemas.microsoft.com/office/drawing/2012/chartStyle" xmlns:a="http://schemas.openxmlformats.org/drawingml/2006/main" meth="withinLinear" id="15">
  <a:schemeClr val="accent2"/>
</cs:colorStyle>
</file>

<file path=xl/charts/colors4.xml><?xml version="1.0" encoding="utf-8"?>
<cs:colorStyle xmlns:cs="http://schemas.microsoft.com/office/drawing/2012/chartStyle" xmlns:a="http://schemas.openxmlformats.org/drawingml/2006/main" meth="withinLinear" id="15">
  <a:schemeClr val="accent2"/>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withinLinear" id="15">
  <a:schemeClr val="accent2"/>
</cs:colorStyle>
</file>

<file path=xl/charts/colors12.xml><?xml version="1.0" encoding="utf-8"?>
<cs:colorStyle xmlns:cs="http://schemas.microsoft.com/office/drawing/2012/chartStyle" xmlns:a="http://schemas.openxmlformats.org/drawingml/2006/main" meth="withinLinear" id="17">
  <a:schemeClr val="accent4"/>
</cs:colorStyle>
</file>

<file path=xl/charts/colors13.xml><?xml version="1.0" encoding="utf-8"?>
<cs:colorStyle xmlns:cs="http://schemas.microsoft.com/office/drawing/2012/chartStyle" xmlns:a="http://schemas.openxmlformats.org/drawingml/2006/main" meth="withinLinear" id="15">
  <a:schemeClr val="accent2"/>
</cs:colorStyle>
</file>

<file path=xl/charts/colors14.xml><?xml version="1.0" encoding="utf-8"?>
<cs:colorStyle xmlns:cs="http://schemas.microsoft.com/office/drawing/2012/chartStyle" xmlns:a="http://schemas.openxmlformats.org/drawingml/2006/main" meth="withinLinear" id="15">
  <a:schemeClr val="accent2"/>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hyperlink" Target="#'IMP Charts'!A1"/><Relationship Id="rId3" Type="http://schemas.openxmlformats.org/officeDocument/2006/relationships/hyperlink" Target="#Profitability!A1"/><Relationship Id="rId7" Type="http://schemas.openxmlformats.org/officeDocument/2006/relationships/hyperlink" Target="#'Company Snapshot'!A1"/><Relationship Id="rId2" Type="http://schemas.openxmlformats.org/officeDocument/2006/relationships/hyperlink" Target="#Conclusion!A1"/><Relationship Id="rId1" Type="http://schemas.openxmlformats.org/officeDocument/2006/relationships/hyperlink" Target="#'Growth Trends'!A1"/><Relationship Id="rId6" Type="http://schemas.openxmlformats.org/officeDocument/2006/relationships/hyperlink" Target="#Liquidity!A1"/><Relationship Id="rId5" Type="http://schemas.openxmlformats.org/officeDocument/2006/relationships/hyperlink" Target="#'Financial Health'!A1"/><Relationship Id="rId4" Type="http://schemas.openxmlformats.org/officeDocument/2006/relationships/hyperlink" Target="#'Market Position'!A1"/></Relationships>
</file>

<file path=xl/drawings/_rels/drawing2.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2" Type="http://schemas.openxmlformats.org/officeDocument/2006/relationships/chart" Target="../charts/chart4.xml"/><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2" Type="http://schemas.openxmlformats.org/officeDocument/2006/relationships/chart" Target="../charts/chart6.xml"/><Relationship Id="rId1" Type="http://schemas.openxmlformats.org/officeDocument/2006/relationships/chart" Target="../charts/chart5.xml"/></Relationships>
</file>

<file path=xl/drawings/_rels/drawing5.xml.rels><?xml version="1.0" encoding="UTF-8" standalone="yes"?>
<Relationships xmlns="http://schemas.openxmlformats.org/package/2006/relationships"><Relationship Id="rId1" Type="http://schemas.openxmlformats.org/officeDocument/2006/relationships/chart" Target="../charts/chart7.xml"/></Relationships>
</file>

<file path=xl/drawings/_rels/drawing6.xml.rels><?xml version="1.0" encoding="UTF-8" standalone="yes"?>
<Relationships xmlns="http://schemas.openxmlformats.org/package/2006/relationships"><Relationship Id="rId1" Type="http://schemas.openxmlformats.org/officeDocument/2006/relationships/chart" Target="../charts/chart8.xml"/></Relationships>
</file>

<file path=xl/drawings/_rels/drawing7.xml.rels><?xml version="1.0" encoding="UTF-8" standalone="yes"?>
<Relationships xmlns="http://schemas.openxmlformats.org/package/2006/relationships"><Relationship Id="rId8" Type="http://schemas.openxmlformats.org/officeDocument/2006/relationships/chart" Target="../charts/chart16.xml"/><Relationship Id="rId3" Type="http://schemas.openxmlformats.org/officeDocument/2006/relationships/chart" Target="../charts/chart11.xml"/><Relationship Id="rId7" Type="http://schemas.openxmlformats.org/officeDocument/2006/relationships/chart" Target="../charts/chart15.xml"/><Relationship Id="rId2" Type="http://schemas.openxmlformats.org/officeDocument/2006/relationships/chart" Target="../charts/chart10.xml"/><Relationship Id="rId1" Type="http://schemas.openxmlformats.org/officeDocument/2006/relationships/chart" Target="../charts/chart9.xml"/><Relationship Id="rId6" Type="http://schemas.openxmlformats.org/officeDocument/2006/relationships/chart" Target="../charts/chart14.xml"/><Relationship Id="rId5" Type="http://schemas.openxmlformats.org/officeDocument/2006/relationships/chart" Target="../charts/chart13.xml"/><Relationship Id="rId4" Type="http://schemas.openxmlformats.org/officeDocument/2006/relationships/chart" Target="../charts/chart12.xml"/></Relationships>
</file>

<file path=xl/drawings/drawing1.xml><?xml version="1.0" encoding="utf-8"?>
<xdr:wsDr xmlns:xdr="http://schemas.openxmlformats.org/drawingml/2006/spreadsheetDrawing" xmlns:a="http://schemas.openxmlformats.org/drawingml/2006/main">
  <xdr:twoCellAnchor>
    <xdr:from>
      <xdr:col>6</xdr:col>
      <xdr:colOff>99060</xdr:colOff>
      <xdr:row>8</xdr:row>
      <xdr:rowOff>60960</xdr:rowOff>
    </xdr:from>
    <xdr:to>
      <xdr:col>6</xdr:col>
      <xdr:colOff>541020</xdr:colOff>
      <xdr:row>8</xdr:row>
      <xdr:rowOff>60960</xdr:rowOff>
    </xdr:to>
    <xdr:cxnSp macro="">
      <xdr:nvCxnSpPr>
        <xdr:cNvPr id="3" name="Straight Arrow Connector 2">
          <a:extLst>
            <a:ext uri="{FF2B5EF4-FFF2-40B4-BE49-F238E27FC236}">
              <a16:creationId xmlns:a16="http://schemas.microsoft.com/office/drawing/2014/main" id="{17CFB2C5-99BC-6725-C83C-8DF0453496D4}"/>
            </a:ext>
          </a:extLst>
        </xdr:cNvPr>
        <xdr:cNvCxnSpPr/>
      </xdr:nvCxnSpPr>
      <xdr:spPr>
        <a:xfrm>
          <a:off x="3756660" y="1303020"/>
          <a:ext cx="441960" cy="0"/>
        </a:xfrm>
        <a:prstGeom prst="straightConnector1">
          <a:avLst/>
        </a:prstGeom>
        <a:ln>
          <a:solidFill>
            <a:sysClr val="windowText" lastClr="000000"/>
          </a:solidFill>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6</xdr:col>
      <xdr:colOff>99060</xdr:colOff>
      <xdr:row>9</xdr:row>
      <xdr:rowOff>60960</xdr:rowOff>
    </xdr:from>
    <xdr:to>
      <xdr:col>6</xdr:col>
      <xdr:colOff>541020</xdr:colOff>
      <xdr:row>9</xdr:row>
      <xdr:rowOff>60960</xdr:rowOff>
    </xdr:to>
    <xdr:cxnSp macro="">
      <xdr:nvCxnSpPr>
        <xdr:cNvPr id="4" name="Straight Arrow Connector 3">
          <a:extLst>
            <a:ext uri="{FF2B5EF4-FFF2-40B4-BE49-F238E27FC236}">
              <a16:creationId xmlns:a16="http://schemas.microsoft.com/office/drawing/2014/main" id="{927B8558-B0B7-4407-B6A3-57E2CA68011E}"/>
            </a:ext>
          </a:extLst>
        </xdr:cNvPr>
        <xdr:cNvCxnSpPr/>
      </xdr:nvCxnSpPr>
      <xdr:spPr>
        <a:xfrm>
          <a:off x="3756660" y="1303020"/>
          <a:ext cx="441960" cy="0"/>
        </a:xfrm>
        <a:prstGeom prst="straightConnector1">
          <a:avLst/>
        </a:prstGeom>
        <a:ln>
          <a:solidFill>
            <a:sysClr val="windowText" lastClr="000000"/>
          </a:solidFill>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6</xdr:col>
      <xdr:colOff>99060</xdr:colOff>
      <xdr:row>10</xdr:row>
      <xdr:rowOff>60960</xdr:rowOff>
    </xdr:from>
    <xdr:to>
      <xdr:col>6</xdr:col>
      <xdr:colOff>541020</xdr:colOff>
      <xdr:row>10</xdr:row>
      <xdr:rowOff>60960</xdr:rowOff>
    </xdr:to>
    <xdr:cxnSp macro="">
      <xdr:nvCxnSpPr>
        <xdr:cNvPr id="5" name="Straight Arrow Connector 4">
          <a:extLst>
            <a:ext uri="{FF2B5EF4-FFF2-40B4-BE49-F238E27FC236}">
              <a16:creationId xmlns:a16="http://schemas.microsoft.com/office/drawing/2014/main" id="{D0ABABF9-F3CC-4687-A5D2-3E1A1442F40F}"/>
            </a:ext>
          </a:extLst>
        </xdr:cNvPr>
        <xdr:cNvCxnSpPr/>
      </xdr:nvCxnSpPr>
      <xdr:spPr>
        <a:xfrm>
          <a:off x="3756660" y="1303020"/>
          <a:ext cx="441960" cy="0"/>
        </a:xfrm>
        <a:prstGeom prst="straightConnector1">
          <a:avLst/>
        </a:prstGeom>
        <a:ln>
          <a:solidFill>
            <a:sysClr val="windowText" lastClr="000000"/>
          </a:solidFill>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6</xdr:col>
      <xdr:colOff>99060</xdr:colOff>
      <xdr:row>12</xdr:row>
      <xdr:rowOff>60960</xdr:rowOff>
    </xdr:from>
    <xdr:to>
      <xdr:col>6</xdr:col>
      <xdr:colOff>541020</xdr:colOff>
      <xdr:row>12</xdr:row>
      <xdr:rowOff>60960</xdr:rowOff>
    </xdr:to>
    <xdr:cxnSp macro="">
      <xdr:nvCxnSpPr>
        <xdr:cNvPr id="6" name="Straight Arrow Connector 5">
          <a:extLst>
            <a:ext uri="{FF2B5EF4-FFF2-40B4-BE49-F238E27FC236}">
              <a16:creationId xmlns:a16="http://schemas.microsoft.com/office/drawing/2014/main" id="{C9E0667B-12B2-494D-9132-3633C2C88B77}"/>
            </a:ext>
          </a:extLst>
        </xdr:cNvPr>
        <xdr:cNvCxnSpPr/>
      </xdr:nvCxnSpPr>
      <xdr:spPr>
        <a:xfrm>
          <a:off x="3756660" y="1303020"/>
          <a:ext cx="441960" cy="0"/>
        </a:xfrm>
        <a:prstGeom prst="straightConnector1">
          <a:avLst/>
        </a:prstGeom>
        <a:ln>
          <a:solidFill>
            <a:sysClr val="windowText" lastClr="000000"/>
          </a:solidFill>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6</xdr:col>
      <xdr:colOff>99060</xdr:colOff>
      <xdr:row>14</xdr:row>
      <xdr:rowOff>60960</xdr:rowOff>
    </xdr:from>
    <xdr:to>
      <xdr:col>6</xdr:col>
      <xdr:colOff>541020</xdr:colOff>
      <xdr:row>14</xdr:row>
      <xdr:rowOff>60960</xdr:rowOff>
    </xdr:to>
    <xdr:cxnSp macro="">
      <xdr:nvCxnSpPr>
        <xdr:cNvPr id="7" name="Straight Arrow Connector 6">
          <a:extLst>
            <a:ext uri="{FF2B5EF4-FFF2-40B4-BE49-F238E27FC236}">
              <a16:creationId xmlns:a16="http://schemas.microsoft.com/office/drawing/2014/main" id="{F28EB980-C098-433B-82E2-73B8C2FE22E9}"/>
            </a:ext>
          </a:extLst>
        </xdr:cNvPr>
        <xdr:cNvCxnSpPr/>
      </xdr:nvCxnSpPr>
      <xdr:spPr>
        <a:xfrm>
          <a:off x="3756660" y="1303020"/>
          <a:ext cx="441960" cy="0"/>
        </a:xfrm>
        <a:prstGeom prst="straightConnector1">
          <a:avLst/>
        </a:prstGeom>
        <a:ln>
          <a:solidFill>
            <a:sysClr val="windowText" lastClr="000000"/>
          </a:solidFill>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6</xdr:col>
      <xdr:colOff>99060</xdr:colOff>
      <xdr:row>15</xdr:row>
      <xdr:rowOff>60960</xdr:rowOff>
    </xdr:from>
    <xdr:to>
      <xdr:col>6</xdr:col>
      <xdr:colOff>541020</xdr:colOff>
      <xdr:row>15</xdr:row>
      <xdr:rowOff>60960</xdr:rowOff>
    </xdr:to>
    <xdr:cxnSp macro="">
      <xdr:nvCxnSpPr>
        <xdr:cNvPr id="8" name="Straight Arrow Connector 7">
          <a:extLst>
            <a:ext uri="{FF2B5EF4-FFF2-40B4-BE49-F238E27FC236}">
              <a16:creationId xmlns:a16="http://schemas.microsoft.com/office/drawing/2014/main" id="{4F6D6760-0B80-4F86-BD14-0F2B8D299DC6}"/>
            </a:ext>
          </a:extLst>
        </xdr:cNvPr>
        <xdr:cNvCxnSpPr/>
      </xdr:nvCxnSpPr>
      <xdr:spPr>
        <a:xfrm>
          <a:off x="3756660" y="1303020"/>
          <a:ext cx="441960" cy="0"/>
        </a:xfrm>
        <a:prstGeom prst="straightConnector1">
          <a:avLst/>
        </a:prstGeom>
        <a:ln>
          <a:solidFill>
            <a:sysClr val="windowText" lastClr="000000"/>
          </a:solidFill>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6</xdr:col>
      <xdr:colOff>99060</xdr:colOff>
      <xdr:row>17</xdr:row>
      <xdr:rowOff>60960</xdr:rowOff>
    </xdr:from>
    <xdr:to>
      <xdr:col>6</xdr:col>
      <xdr:colOff>541020</xdr:colOff>
      <xdr:row>17</xdr:row>
      <xdr:rowOff>60960</xdr:rowOff>
    </xdr:to>
    <xdr:cxnSp macro="">
      <xdr:nvCxnSpPr>
        <xdr:cNvPr id="9" name="Straight Arrow Connector 8">
          <a:extLst>
            <a:ext uri="{FF2B5EF4-FFF2-40B4-BE49-F238E27FC236}">
              <a16:creationId xmlns:a16="http://schemas.microsoft.com/office/drawing/2014/main" id="{C01F234B-2B59-4721-9814-B777E7F7A7AE}"/>
            </a:ext>
          </a:extLst>
        </xdr:cNvPr>
        <xdr:cNvCxnSpPr/>
      </xdr:nvCxnSpPr>
      <xdr:spPr>
        <a:xfrm>
          <a:off x="3756660" y="2880360"/>
          <a:ext cx="441960" cy="0"/>
        </a:xfrm>
        <a:prstGeom prst="straightConnector1">
          <a:avLst/>
        </a:prstGeom>
        <a:ln>
          <a:solidFill>
            <a:sysClr val="windowText" lastClr="000000"/>
          </a:solidFill>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6</xdr:col>
      <xdr:colOff>99060</xdr:colOff>
      <xdr:row>18</xdr:row>
      <xdr:rowOff>60960</xdr:rowOff>
    </xdr:from>
    <xdr:to>
      <xdr:col>6</xdr:col>
      <xdr:colOff>541020</xdr:colOff>
      <xdr:row>18</xdr:row>
      <xdr:rowOff>60960</xdr:rowOff>
    </xdr:to>
    <xdr:cxnSp macro="">
      <xdr:nvCxnSpPr>
        <xdr:cNvPr id="10" name="Straight Arrow Connector 9">
          <a:extLst>
            <a:ext uri="{FF2B5EF4-FFF2-40B4-BE49-F238E27FC236}">
              <a16:creationId xmlns:a16="http://schemas.microsoft.com/office/drawing/2014/main" id="{F205F554-FB64-42B1-A3DA-15782A684173}"/>
            </a:ext>
          </a:extLst>
        </xdr:cNvPr>
        <xdr:cNvCxnSpPr/>
      </xdr:nvCxnSpPr>
      <xdr:spPr>
        <a:xfrm>
          <a:off x="3756660" y="1303020"/>
          <a:ext cx="441960" cy="0"/>
        </a:xfrm>
        <a:prstGeom prst="straightConnector1">
          <a:avLst/>
        </a:prstGeom>
        <a:ln>
          <a:solidFill>
            <a:sysClr val="windowText" lastClr="000000"/>
          </a:solidFill>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7</xdr:col>
      <xdr:colOff>320040</xdr:colOff>
      <xdr:row>7</xdr:row>
      <xdr:rowOff>114300</xdr:rowOff>
    </xdr:from>
    <xdr:to>
      <xdr:col>10</xdr:col>
      <xdr:colOff>22860</xdr:colOff>
      <xdr:row>8</xdr:row>
      <xdr:rowOff>152400</xdr:rowOff>
    </xdr:to>
    <xdr:sp macro="" textlink="">
      <xdr:nvSpPr>
        <xdr:cNvPr id="12" name="Rectangle 11">
          <a:hlinkClick xmlns:r="http://schemas.openxmlformats.org/officeDocument/2006/relationships" r:id="rId1"/>
          <a:extLst>
            <a:ext uri="{FF2B5EF4-FFF2-40B4-BE49-F238E27FC236}">
              <a16:creationId xmlns:a16="http://schemas.microsoft.com/office/drawing/2014/main" id="{C1D12F79-8531-15AD-B20C-66C25B8E362A}"/>
            </a:ext>
          </a:extLst>
        </xdr:cNvPr>
        <xdr:cNvSpPr/>
      </xdr:nvSpPr>
      <xdr:spPr>
        <a:xfrm>
          <a:off x="4587240" y="1181100"/>
          <a:ext cx="1531620" cy="213360"/>
        </a:xfrm>
        <a:prstGeom prst="rect">
          <a:avLst/>
        </a:prstGeom>
        <a:ln>
          <a:solidFill>
            <a:srgbClr val="0070C0"/>
          </a:solidFill>
        </a:ln>
      </xdr:spPr>
      <xdr:style>
        <a:lnRef idx="1">
          <a:schemeClr val="accent5"/>
        </a:lnRef>
        <a:fillRef idx="2">
          <a:schemeClr val="accent5"/>
        </a:fillRef>
        <a:effectRef idx="1">
          <a:schemeClr val="accent5"/>
        </a:effectRef>
        <a:fontRef idx="minor">
          <a:schemeClr val="dk1"/>
        </a:fontRef>
      </xdr:style>
      <xdr:txBody>
        <a:bodyPr vertOverflow="clip" horzOverflow="clip" rtlCol="0" anchor="ctr"/>
        <a:lstStyle/>
        <a:p>
          <a:pPr algn="ctr"/>
          <a:r>
            <a:rPr lang="en-IN" sz="1200"/>
            <a:t>Growth Trends	</a:t>
          </a:r>
        </a:p>
        <a:p>
          <a:pPr algn="ctr"/>
          <a:endParaRPr lang="en-IN" sz="1200"/>
        </a:p>
      </xdr:txBody>
    </xdr:sp>
    <xdr:clientData/>
  </xdr:twoCellAnchor>
  <xdr:twoCellAnchor>
    <xdr:from>
      <xdr:col>7</xdr:col>
      <xdr:colOff>281940</xdr:colOff>
      <xdr:row>18</xdr:row>
      <xdr:rowOff>45720</xdr:rowOff>
    </xdr:from>
    <xdr:to>
      <xdr:col>10</xdr:col>
      <xdr:colOff>45720</xdr:colOff>
      <xdr:row>18</xdr:row>
      <xdr:rowOff>243840</xdr:rowOff>
    </xdr:to>
    <xdr:sp macro="" textlink="">
      <xdr:nvSpPr>
        <xdr:cNvPr id="17" name="Rectangle 16">
          <a:hlinkClick xmlns:r="http://schemas.openxmlformats.org/officeDocument/2006/relationships" r:id="rId2"/>
          <a:extLst>
            <a:ext uri="{FF2B5EF4-FFF2-40B4-BE49-F238E27FC236}">
              <a16:creationId xmlns:a16="http://schemas.microsoft.com/office/drawing/2014/main" id="{B6ACEA2A-89F2-4328-B369-D5C4CE04C1A5}"/>
            </a:ext>
          </a:extLst>
        </xdr:cNvPr>
        <xdr:cNvSpPr/>
      </xdr:nvSpPr>
      <xdr:spPr>
        <a:xfrm>
          <a:off x="4549140" y="3215640"/>
          <a:ext cx="1303020" cy="198120"/>
        </a:xfrm>
        <a:prstGeom prst="rect">
          <a:avLst/>
        </a:prstGeom>
        <a:ln>
          <a:solidFill>
            <a:srgbClr val="0070C0"/>
          </a:solidFill>
        </a:ln>
      </xdr:spPr>
      <xdr:style>
        <a:lnRef idx="1">
          <a:schemeClr val="accent5"/>
        </a:lnRef>
        <a:fillRef idx="2">
          <a:schemeClr val="accent5"/>
        </a:fillRef>
        <a:effectRef idx="1">
          <a:schemeClr val="accent5"/>
        </a:effectRef>
        <a:fontRef idx="minor">
          <a:schemeClr val="dk1"/>
        </a:fontRef>
      </xdr:style>
      <xdr:txBody>
        <a:bodyPr vertOverflow="clip" horzOverflow="clip" rtlCol="0" anchor="ctr"/>
        <a:lstStyle/>
        <a:p>
          <a:pPr algn="ctr"/>
          <a:r>
            <a:rPr lang="en-IN" sz="1200"/>
            <a:t>Conclusion	</a:t>
          </a:r>
        </a:p>
        <a:p>
          <a:pPr algn="ctr"/>
          <a:endParaRPr lang="en-IN" sz="1200"/>
        </a:p>
      </xdr:txBody>
    </xdr:sp>
    <xdr:clientData/>
  </xdr:twoCellAnchor>
  <xdr:twoCellAnchor>
    <xdr:from>
      <xdr:col>7</xdr:col>
      <xdr:colOff>312420</xdr:colOff>
      <xdr:row>9</xdr:row>
      <xdr:rowOff>7620</xdr:rowOff>
    </xdr:from>
    <xdr:to>
      <xdr:col>10</xdr:col>
      <xdr:colOff>30480</xdr:colOff>
      <xdr:row>10</xdr:row>
      <xdr:rowOff>30480</xdr:rowOff>
    </xdr:to>
    <xdr:sp macro="" textlink="">
      <xdr:nvSpPr>
        <xdr:cNvPr id="19" name="Rectangle 18">
          <a:hlinkClick xmlns:r="http://schemas.openxmlformats.org/officeDocument/2006/relationships" r:id="rId3"/>
          <a:extLst>
            <a:ext uri="{FF2B5EF4-FFF2-40B4-BE49-F238E27FC236}">
              <a16:creationId xmlns:a16="http://schemas.microsoft.com/office/drawing/2014/main" id="{99EF9DE3-BF8C-4C29-925C-056D80C5D46D}"/>
            </a:ext>
          </a:extLst>
        </xdr:cNvPr>
        <xdr:cNvSpPr/>
      </xdr:nvSpPr>
      <xdr:spPr>
        <a:xfrm>
          <a:off x="4579620" y="1600200"/>
          <a:ext cx="1257300" cy="198120"/>
        </a:xfrm>
        <a:prstGeom prst="rect">
          <a:avLst/>
        </a:prstGeom>
        <a:ln>
          <a:solidFill>
            <a:srgbClr val="0070C0"/>
          </a:solidFill>
        </a:ln>
      </xdr:spPr>
      <xdr:style>
        <a:lnRef idx="1">
          <a:schemeClr val="accent5"/>
        </a:lnRef>
        <a:fillRef idx="2">
          <a:schemeClr val="accent5"/>
        </a:fillRef>
        <a:effectRef idx="1">
          <a:schemeClr val="accent5"/>
        </a:effectRef>
        <a:fontRef idx="minor">
          <a:schemeClr val="dk1"/>
        </a:fontRef>
      </xdr:style>
      <xdr:txBody>
        <a:bodyPr vertOverflow="clip" horzOverflow="clip" rtlCol="0" anchor="ctr"/>
        <a:lstStyle/>
        <a:p>
          <a:pPr algn="ctr"/>
          <a:r>
            <a:rPr lang="en-IN" sz="1200"/>
            <a:t>Profitability	</a:t>
          </a:r>
        </a:p>
        <a:p>
          <a:pPr algn="ctr"/>
          <a:endParaRPr lang="en-IN" sz="1200"/>
        </a:p>
      </xdr:txBody>
    </xdr:sp>
    <xdr:clientData/>
  </xdr:twoCellAnchor>
  <xdr:twoCellAnchor>
    <xdr:from>
      <xdr:col>7</xdr:col>
      <xdr:colOff>312420</xdr:colOff>
      <xdr:row>10</xdr:row>
      <xdr:rowOff>45720</xdr:rowOff>
    </xdr:from>
    <xdr:to>
      <xdr:col>10</xdr:col>
      <xdr:colOff>30480</xdr:colOff>
      <xdr:row>11</xdr:row>
      <xdr:rowOff>68580</xdr:rowOff>
    </xdr:to>
    <xdr:sp macro="" textlink="">
      <xdr:nvSpPr>
        <xdr:cNvPr id="24" name="Rectangle 23">
          <a:hlinkClick xmlns:r="http://schemas.openxmlformats.org/officeDocument/2006/relationships" r:id="rId4"/>
          <a:extLst>
            <a:ext uri="{FF2B5EF4-FFF2-40B4-BE49-F238E27FC236}">
              <a16:creationId xmlns:a16="http://schemas.microsoft.com/office/drawing/2014/main" id="{B3428C35-F442-49E4-AD27-AC9FA89CC066}"/>
            </a:ext>
          </a:extLst>
        </xdr:cNvPr>
        <xdr:cNvSpPr/>
      </xdr:nvSpPr>
      <xdr:spPr>
        <a:xfrm>
          <a:off x="4579620" y="1813560"/>
          <a:ext cx="1257300" cy="198120"/>
        </a:xfrm>
        <a:prstGeom prst="rect">
          <a:avLst/>
        </a:prstGeom>
        <a:ln>
          <a:solidFill>
            <a:srgbClr val="0070C0"/>
          </a:solidFill>
        </a:ln>
      </xdr:spPr>
      <xdr:style>
        <a:lnRef idx="1">
          <a:schemeClr val="accent5"/>
        </a:lnRef>
        <a:fillRef idx="2">
          <a:schemeClr val="accent5"/>
        </a:fillRef>
        <a:effectRef idx="1">
          <a:schemeClr val="accent5"/>
        </a:effectRef>
        <a:fontRef idx="minor">
          <a:schemeClr val="dk1"/>
        </a:fontRef>
      </xdr:style>
      <xdr:txBody>
        <a:bodyPr vertOverflow="clip" horzOverflow="clip" rtlCol="0" anchor="ctr"/>
        <a:lstStyle/>
        <a:p>
          <a:pPr algn="ctr"/>
          <a:r>
            <a:rPr lang="en-IN" sz="1200"/>
            <a:t>Markrt</a:t>
          </a:r>
          <a:r>
            <a:rPr lang="en-IN" sz="1200" baseline="0"/>
            <a:t> Position</a:t>
          </a:r>
          <a:endParaRPr lang="en-IN" sz="1200"/>
        </a:p>
      </xdr:txBody>
    </xdr:sp>
    <xdr:clientData/>
  </xdr:twoCellAnchor>
  <xdr:twoCellAnchor>
    <xdr:from>
      <xdr:col>7</xdr:col>
      <xdr:colOff>312420</xdr:colOff>
      <xdr:row>11</xdr:row>
      <xdr:rowOff>83820</xdr:rowOff>
    </xdr:from>
    <xdr:to>
      <xdr:col>10</xdr:col>
      <xdr:colOff>30480</xdr:colOff>
      <xdr:row>13</xdr:row>
      <xdr:rowOff>106680</xdr:rowOff>
    </xdr:to>
    <xdr:sp macro="" textlink="">
      <xdr:nvSpPr>
        <xdr:cNvPr id="25" name="Rectangle 24">
          <a:hlinkClick xmlns:r="http://schemas.openxmlformats.org/officeDocument/2006/relationships" r:id="rId5"/>
          <a:extLst>
            <a:ext uri="{FF2B5EF4-FFF2-40B4-BE49-F238E27FC236}">
              <a16:creationId xmlns:a16="http://schemas.microsoft.com/office/drawing/2014/main" id="{72C1FB23-4844-432F-8FC2-CB5214F2F2AF}"/>
            </a:ext>
          </a:extLst>
        </xdr:cNvPr>
        <xdr:cNvSpPr/>
      </xdr:nvSpPr>
      <xdr:spPr>
        <a:xfrm>
          <a:off x="4579620" y="2026920"/>
          <a:ext cx="1257300" cy="198120"/>
        </a:xfrm>
        <a:prstGeom prst="rect">
          <a:avLst/>
        </a:prstGeom>
        <a:ln>
          <a:solidFill>
            <a:srgbClr val="0070C0"/>
          </a:solidFill>
        </a:ln>
      </xdr:spPr>
      <xdr:style>
        <a:lnRef idx="1">
          <a:schemeClr val="accent5"/>
        </a:lnRef>
        <a:fillRef idx="2">
          <a:schemeClr val="accent5"/>
        </a:fillRef>
        <a:effectRef idx="1">
          <a:schemeClr val="accent5"/>
        </a:effectRef>
        <a:fontRef idx="minor">
          <a:schemeClr val="dk1"/>
        </a:fontRef>
      </xdr:style>
      <xdr:txBody>
        <a:bodyPr vertOverflow="clip" horzOverflow="clip" rtlCol="0" anchor="ctr"/>
        <a:lstStyle/>
        <a:p>
          <a:pPr algn="ctr"/>
          <a:r>
            <a:rPr lang="en-IN" sz="1200"/>
            <a:t>Financial</a:t>
          </a:r>
          <a:r>
            <a:rPr lang="en-IN" sz="1200" baseline="0"/>
            <a:t> Health</a:t>
          </a:r>
          <a:r>
            <a:rPr lang="en-IN" sz="1200"/>
            <a:t>	</a:t>
          </a:r>
        </a:p>
        <a:p>
          <a:pPr algn="ctr"/>
          <a:endParaRPr lang="en-IN" sz="1200"/>
        </a:p>
      </xdr:txBody>
    </xdr:sp>
    <xdr:clientData/>
  </xdr:twoCellAnchor>
  <xdr:twoCellAnchor>
    <xdr:from>
      <xdr:col>7</xdr:col>
      <xdr:colOff>304800</xdr:colOff>
      <xdr:row>13</xdr:row>
      <xdr:rowOff>106680</xdr:rowOff>
    </xdr:from>
    <xdr:to>
      <xdr:col>10</xdr:col>
      <xdr:colOff>22860</xdr:colOff>
      <xdr:row>14</xdr:row>
      <xdr:rowOff>129540</xdr:rowOff>
    </xdr:to>
    <xdr:sp macro="" textlink="">
      <xdr:nvSpPr>
        <xdr:cNvPr id="26" name="Rectangle 25">
          <a:hlinkClick xmlns:r="http://schemas.openxmlformats.org/officeDocument/2006/relationships" r:id="rId6"/>
          <a:extLst>
            <a:ext uri="{FF2B5EF4-FFF2-40B4-BE49-F238E27FC236}">
              <a16:creationId xmlns:a16="http://schemas.microsoft.com/office/drawing/2014/main" id="{111A7B03-54EE-4A40-8785-4AB91685DD45}"/>
            </a:ext>
          </a:extLst>
        </xdr:cNvPr>
        <xdr:cNvSpPr/>
      </xdr:nvSpPr>
      <xdr:spPr>
        <a:xfrm>
          <a:off x="4572000" y="2225040"/>
          <a:ext cx="1257300" cy="198120"/>
        </a:xfrm>
        <a:prstGeom prst="rect">
          <a:avLst/>
        </a:prstGeom>
        <a:ln>
          <a:solidFill>
            <a:srgbClr val="0070C0"/>
          </a:solidFill>
        </a:ln>
      </xdr:spPr>
      <xdr:style>
        <a:lnRef idx="1">
          <a:schemeClr val="accent5"/>
        </a:lnRef>
        <a:fillRef idx="2">
          <a:schemeClr val="accent5"/>
        </a:fillRef>
        <a:effectRef idx="1">
          <a:schemeClr val="accent5"/>
        </a:effectRef>
        <a:fontRef idx="minor">
          <a:schemeClr val="dk1"/>
        </a:fontRef>
      </xdr:style>
      <xdr:txBody>
        <a:bodyPr vertOverflow="clip" horzOverflow="clip" rtlCol="0" anchor="ctr"/>
        <a:lstStyle/>
        <a:p>
          <a:pPr algn="ctr"/>
          <a:r>
            <a:rPr lang="en-IN" sz="1200"/>
            <a:t>Liquidity	</a:t>
          </a:r>
        </a:p>
        <a:p>
          <a:pPr algn="ctr"/>
          <a:endParaRPr lang="en-IN" sz="1200"/>
        </a:p>
      </xdr:txBody>
    </xdr:sp>
    <xdr:clientData/>
  </xdr:twoCellAnchor>
  <xdr:twoCellAnchor>
    <xdr:from>
      <xdr:col>7</xdr:col>
      <xdr:colOff>297180</xdr:colOff>
      <xdr:row>14</xdr:row>
      <xdr:rowOff>129540</xdr:rowOff>
    </xdr:from>
    <xdr:to>
      <xdr:col>10</xdr:col>
      <xdr:colOff>15240</xdr:colOff>
      <xdr:row>16</xdr:row>
      <xdr:rowOff>152400</xdr:rowOff>
    </xdr:to>
    <xdr:sp macro="" textlink="">
      <xdr:nvSpPr>
        <xdr:cNvPr id="27" name="Rectangle 26">
          <a:hlinkClick xmlns:r="http://schemas.openxmlformats.org/officeDocument/2006/relationships" r:id="rId7"/>
          <a:extLst>
            <a:ext uri="{FF2B5EF4-FFF2-40B4-BE49-F238E27FC236}">
              <a16:creationId xmlns:a16="http://schemas.microsoft.com/office/drawing/2014/main" id="{E634E486-7BA5-4272-9F3A-AD2CF3A68F5F}"/>
            </a:ext>
          </a:extLst>
        </xdr:cNvPr>
        <xdr:cNvSpPr/>
      </xdr:nvSpPr>
      <xdr:spPr>
        <a:xfrm>
          <a:off x="4564380" y="2598420"/>
          <a:ext cx="1257300" cy="373380"/>
        </a:xfrm>
        <a:prstGeom prst="rect">
          <a:avLst/>
        </a:prstGeom>
        <a:ln>
          <a:solidFill>
            <a:srgbClr val="0070C0"/>
          </a:solidFill>
        </a:ln>
      </xdr:spPr>
      <xdr:style>
        <a:lnRef idx="1">
          <a:schemeClr val="accent5"/>
        </a:lnRef>
        <a:fillRef idx="2">
          <a:schemeClr val="accent5"/>
        </a:fillRef>
        <a:effectRef idx="1">
          <a:schemeClr val="accent5"/>
        </a:effectRef>
        <a:fontRef idx="minor">
          <a:schemeClr val="dk1"/>
        </a:fontRef>
      </xdr:style>
      <xdr:txBody>
        <a:bodyPr vertOverflow="clip" horzOverflow="clip" rtlCol="0" anchor="ctr"/>
        <a:lstStyle/>
        <a:p>
          <a:pPr algn="ctr"/>
          <a:r>
            <a:rPr lang="en-IN" sz="1200"/>
            <a:t>Com.</a:t>
          </a:r>
          <a:r>
            <a:rPr lang="en-IN" sz="1200" baseline="0"/>
            <a:t> Snapshot</a:t>
          </a:r>
          <a:endParaRPr lang="en-IN" sz="1200"/>
        </a:p>
      </xdr:txBody>
    </xdr:sp>
    <xdr:clientData/>
  </xdr:twoCellAnchor>
  <xdr:twoCellAnchor>
    <xdr:from>
      <xdr:col>7</xdr:col>
      <xdr:colOff>281940</xdr:colOff>
      <xdr:row>16</xdr:row>
      <xdr:rowOff>167640</xdr:rowOff>
    </xdr:from>
    <xdr:to>
      <xdr:col>10</xdr:col>
      <xdr:colOff>30480</xdr:colOff>
      <xdr:row>18</xdr:row>
      <xdr:rowOff>30480</xdr:rowOff>
    </xdr:to>
    <xdr:sp macro="" textlink="">
      <xdr:nvSpPr>
        <xdr:cNvPr id="28" name="Rectangle 27">
          <a:hlinkClick xmlns:r="http://schemas.openxmlformats.org/officeDocument/2006/relationships" r:id="rId8"/>
          <a:extLst>
            <a:ext uri="{FF2B5EF4-FFF2-40B4-BE49-F238E27FC236}">
              <a16:creationId xmlns:a16="http://schemas.microsoft.com/office/drawing/2014/main" id="{DEAC2CD3-3B6B-4B99-843A-1AAC5B8A7A74}"/>
            </a:ext>
          </a:extLst>
        </xdr:cNvPr>
        <xdr:cNvSpPr/>
      </xdr:nvSpPr>
      <xdr:spPr>
        <a:xfrm>
          <a:off x="4549140" y="2987040"/>
          <a:ext cx="1287780" cy="213360"/>
        </a:xfrm>
        <a:prstGeom prst="rect">
          <a:avLst/>
        </a:prstGeom>
        <a:ln>
          <a:solidFill>
            <a:srgbClr val="0070C0"/>
          </a:solidFill>
        </a:ln>
      </xdr:spPr>
      <xdr:style>
        <a:lnRef idx="1">
          <a:schemeClr val="accent5"/>
        </a:lnRef>
        <a:fillRef idx="2">
          <a:schemeClr val="accent5"/>
        </a:fillRef>
        <a:effectRef idx="1">
          <a:schemeClr val="accent5"/>
        </a:effectRef>
        <a:fontRef idx="minor">
          <a:schemeClr val="dk1"/>
        </a:fontRef>
      </xdr:style>
      <xdr:txBody>
        <a:bodyPr vertOverflow="clip" horzOverflow="clip" rtlCol="0" anchor="ctr"/>
        <a:lstStyle/>
        <a:p>
          <a:pPr algn="ctr"/>
          <a:r>
            <a:rPr lang="en-IN" sz="1200"/>
            <a:t>IMP</a:t>
          </a:r>
          <a:r>
            <a:rPr lang="en-IN" sz="1200" baseline="0"/>
            <a:t> Charts</a:t>
          </a:r>
          <a:endParaRPr lang="en-IN" sz="120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13</xdr:row>
      <xdr:rowOff>15240</xdr:rowOff>
    </xdr:from>
    <xdr:to>
      <xdr:col>7</xdr:col>
      <xdr:colOff>0</xdr:colOff>
      <xdr:row>28</xdr:row>
      <xdr:rowOff>129540</xdr:rowOff>
    </xdr:to>
    <xdr:graphicFrame macro="">
      <xdr:nvGraphicFramePr>
        <xdr:cNvPr id="2" name="Chart 1">
          <a:extLst>
            <a:ext uri="{FF2B5EF4-FFF2-40B4-BE49-F238E27FC236}">
              <a16:creationId xmlns:a16="http://schemas.microsoft.com/office/drawing/2014/main" id="{D5774080-2464-FD81-6FA3-7FC02EADBCF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42</xdr:row>
      <xdr:rowOff>15240</xdr:rowOff>
    </xdr:from>
    <xdr:to>
      <xdr:col>7</xdr:col>
      <xdr:colOff>7620</xdr:colOff>
      <xdr:row>57</xdr:row>
      <xdr:rowOff>129540</xdr:rowOff>
    </xdr:to>
    <xdr:graphicFrame macro="">
      <xdr:nvGraphicFramePr>
        <xdr:cNvPr id="3" name="Chart 2">
          <a:extLst>
            <a:ext uri="{FF2B5EF4-FFF2-40B4-BE49-F238E27FC236}">
              <a16:creationId xmlns:a16="http://schemas.microsoft.com/office/drawing/2014/main" id="{CE12FF9E-B102-4D01-4231-68AA3C2E664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11430</xdr:colOff>
      <xdr:row>12</xdr:row>
      <xdr:rowOff>15240</xdr:rowOff>
    </xdr:from>
    <xdr:to>
      <xdr:col>6</xdr:col>
      <xdr:colOff>807720</xdr:colOff>
      <xdr:row>29</xdr:row>
      <xdr:rowOff>121920</xdr:rowOff>
    </xdr:to>
    <xdr:graphicFrame macro="">
      <xdr:nvGraphicFramePr>
        <xdr:cNvPr id="2" name="Chart 1">
          <a:extLst>
            <a:ext uri="{FF2B5EF4-FFF2-40B4-BE49-F238E27FC236}">
              <a16:creationId xmlns:a16="http://schemas.microsoft.com/office/drawing/2014/main" id="{56D0B7E0-E3F1-9F4D-11F4-DCF2F5D534C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38100</xdr:colOff>
      <xdr:row>42</xdr:row>
      <xdr:rowOff>7620</xdr:rowOff>
    </xdr:from>
    <xdr:to>
      <xdr:col>7</xdr:col>
      <xdr:colOff>15240</xdr:colOff>
      <xdr:row>60</xdr:row>
      <xdr:rowOff>68580</xdr:rowOff>
    </xdr:to>
    <xdr:graphicFrame macro="">
      <xdr:nvGraphicFramePr>
        <xdr:cNvPr id="3" name="Chart 2">
          <a:extLst>
            <a:ext uri="{FF2B5EF4-FFF2-40B4-BE49-F238E27FC236}">
              <a16:creationId xmlns:a16="http://schemas.microsoft.com/office/drawing/2014/main" id="{C70AFC61-8102-C185-A255-CA9773F9CA6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0</xdr:col>
      <xdr:colOff>121920</xdr:colOff>
      <xdr:row>11</xdr:row>
      <xdr:rowOff>41910</xdr:rowOff>
    </xdr:from>
    <xdr:to>
      <xdr:col>6</xdr:col>
      <xdr:colOff>320040</xdr:colOff>
      <xdr:row>26</xdr:row>
      <xdr:rowOff>156210</xdr:rowOff>
    </xdr:to>
    <xdr:graphicFrame macro="">
      <xdr:nvGraphicFramePr>
        <xdr:cNvPr id="2" name="Chart 1">
          <a:extLst>
            <a:ext uri="{FF2B5EF4-FFF2-40B4-BE49-F238E27FC236}">
              <a16:creationId xmlns:a16="http://schemas.microsoft.com/office/drawing/2014/main" id="{8E1E5A5C-0267-E5E3-B810-C1CE6BEECEA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137160</xdr:colOff>
      <xdr:row>40</xdr:row>
      <xdr:rowOff>114300</xdr:rowOff>
    </xdr:from>
    <xdr:to>
      <xdr:col>6</xdr:col>
      <xdr:colOff>350520</xdr:colOff>
      <xdr:row>56</xdr:row>
      <xdr:rowOff>53340</xdr:rowOff>
    </xdr:to>
    <xdr:graphicFrame macro="">
      <xdr:nvGraphicFramePr>
        <xdr:cNvPr id="3" name="Chart 2">
          <a:extLst>
            <a:ext uri="{FF2B5EF4-FFF2-40B4-BE49-F238E27FC236}">
              <a16:creationId xmlns:a16="http://schemas.microsoft.com/office/drawing/2014/main" id="{0C75F6DB-671D-F67C-253F-03F6794A2B2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0</xdr:col>
      <xdr:colOff>0</xdr:colOff>
      <xdr:row>11</xdr:row>
      <xdr:rowOff>152400</xdr:rowOff>
    </xdr:from>
    <xdr:to>
      <xdr:col>6</xdr:col>
      <xdr:colOff>784860</xdr:colOff>
      <xdr:row>27</xdr:row>
      <xdr:rowOff>91440</xdr:rowOff>
    </xdr:to>
    <xdr:graphicFrame macro="">
      <xdr:nvGraphicFramePr>
        <xdr:cNvPr id="2" name="Chart 1">
          <a:extLst>
            <a:ext uri="{FF2B5EF4-FFF2-40B4-BE49-F238E27FC236}">
              <a16:creationId xmlns:a16="http://schemas.microsoft.com/office/drawing/2014/main" id="{3AAF5F27-6416-5C33-75A2-43AF1D80FE1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0</xdr:col>
      <xdr:colOff>0</xdr:colOff>
      <xdr:row>11</xdr:row>
      <xdr:rowOff>152400</xdr:rowOff>
    </xdr:from>
    <xdr:to>
      <xdr:col>7</xdr:col>
      <xdr:colOff>53340</xdr:colOff>
      <xdr:row>27</xdr:row>
      <xdr:rowOff>91440</xdr:rowOff>
    </xdr:to>
    <xdr:graphicFrame macro="">
      <xdr:nvGraphicFramePr>
        <xdr:cNvPr id="2" name="Chart 1">
          <a:extLst>
            <a:ext uri="{FF2B5EF4-FFF2-40B4-BE49-F238E27FC236}">
              <a16:creationId xmlns:a16="http://schemas.microsoft.com/office/drawing/2014/main" id="{BB017012-18BB-F108-0F1D-CA3C2ACBD1E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0</xdr:col>
      <xdr:colOff>0</xdr:colOff>
      <xdr:row>6</xdr:row>
      <xdr:rowOff>0</xdr:rowOff>
    </xdr:from>
    <xdr:to>
      <xdr:col>10</xdr:col>
      <xdr:colOff>228600</xdr:colOff>
      <xdr:row>21</xdr:row>
      <xdr:rowOff>114300</xdr:rowOff>
    </xdr:to>
    <xdr:graphicFrame macro="">
      <xdr:nvGraphicFramePr>
        <xdr:cNvPr id="2" name="Chart 1">
          <a:extLst>
            <a:ext uri="{FF2B5EF4-FFF2-40B4-BE49-F238E27FC236}">
              <a16:creationId xmlns:a16="http://schemas.microsoft.com/office/drawing/2014/main" id="{9C6EACFB-88DB-4D6F-93CE-102FD2B45C7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25</xdr:row>
      <xdr:rowOff>0</xdr:rowOff>
    </xdr:from>
    <xdr:to>
      <xdr:col>10</xdr:col>
      <xdr:colOff>292221</xdr:colOff>
      <xdr:row>41</xdr:row>
      <xdr:rowOff>33866</xdr:rowOff>
    </xdr:to>
    <xdr:graphicFrame macro="">
      <xdr:nvGraphicFramePr>
        <xdr:cNvPr id="3" name="Chart 2">
          <a:extLst>
            <a:ext uri="{FF2B5EF4-FFF2-40B4-BE49-F238E27FC236}">
              <a16:creationId xmlns:a16="http://schemas.microsoft.com/office/drawing/2014/main" id="{74DD028A-7AAB-43A3-A0B0-495AFE955CF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12</xdr:col>
      <xdr:colOff>0</xdr:colOff>
      <xdr:row>6</xdr:row>
      <xdr:rowOff>0</xdr:rowOff>
    </xdr:from>
    <xdr:to>
      <xdr:col>23</xdr:col>
      <xdr:colOff>327539</xdr:colOff>
      <xdr:row>21</xdr:row>
      <xdr:rowOff>120952</xdr:rowOff>
    </xdr:to>
    <xdr:graphicFrame macro="">
      <xdr:nvGraphicFramePr>
        <xdr:cNvPr id="4" name="Chart 3">
          <a:extLst>
            <a:ext uri="{FF2B5EF4-FFF2-40B4-BE49-F238E27FC236}">
              <a16:creationId xmlns:a16="http://schemas.microsoft.com/office/drawing/2014/main" id="{D35AD4AF-C450-490A-B0DF-AF44CAE7382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12</xdr:col>
      <xdr:colOff>0</xdr:colOff>
      <xdr:row>25</xdr:row>
      <xdr:rowOff>0</xdr:rowOff>
    </xdr:from>
    <xdr:to>
      <xdr:col>23</xdr:col>
      <xdr:colOff>319919</xdr:colOff>
      <xdr:row>41</xdr:row>
      <xdr:rowOff>33866</xdr:rowOff>
    </xdr:to>
    <xdr:graphicFrame macro="">
      <xdr:nvGraphicFramePr>
        <xdr:cNvPr id="5" name="Chart 4">
          <a:extLst>
            <a:ext uri="{FF2B5EF4-FFF2-40B4-BE49-F238E27FC236}">
              <a16:creationId xmlns:a16="http://schemas.microsoft.com/office/drawing/2014/main" id="{75842409-F4B5-4F17-AD6F-91C6319D970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25</xdr:col>
      <xdr:colOff>0</xdr:colOff>
      <xdr:row>6</xdr:row>
      <xdr:rowOff>0</xdr:rowOff>
    </xdr:from>
    <xdr:to>
      <xdr:col>34</xdr:col>
      <xdr:colOff>420732</xdr:colOff>
      <xdr:row>22</xdr:row>
      <xdr:rowOff>72572</xdr:rowOff>
    </xdr:to>
    <xdr:graphicFrame macro="">
      <xdr:nvGraphicFramePr>
        <xdr:cNvPr id="9" name="Chart 8">
          <a:extLst>
            <a:ext uri="{FF2B5EF4-FFF2-40B4-BE49-F238E27FC236}">
              <a16:creationId xmlns:a16="http://schemas.microsoft.com/office/drawing/2014/main" id="{33C048A2-2258-4605-A713-8099B6A3E7C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25</xdr:col>
      <xdr:colOff>0</xdr:colOff>
      <xdr:row>25</xdr:row>
      <xdr:rowOff>0</xdr:rowOff>
    </xdr:from>
    <xdr:to>
      <xdr:col>34</xdr:col>
      <xdr:colOff>409302</xdr:colOff>
      <xdr:row>41</xdr:row>
      <xdr:rowOff>60476</xdr:rowOff>
    </xdr:to>
    <xdr:graphicFrame macro="">
      <xdr:nvGraphicFramePr>
        <xdr:cNvPr id="10" name="Chart 9">
          <a:extLst>
            <a:ext uri="{FF2B5EF4-FFF2-40B4-BE49-F238E27FC236}">
              <a16:creationId xmlns:a16="http://schemas.microsoft.com/office/drawing/2014/main" id="{2F872FA6-2447-4355-AE03-32199A4E97A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36</xdr:col>
      <xdr:colOff>0</xdr:colOff>
      <xdr:row>6</xdr:row>
      <xdr:rowOff>0</xdr:rowOff>
    </xdr:from>
    <xdr:to>
      <xdr:col>48</xdr:col>
      <xdr:colOff>103777</xdr:colOff>
      <xdr:row>22</xdr:row>
      <xdr:rowOff>33867</xdr:rowOff>
    </xdr:to>
    <xdr:graphicFrame macro="">
      <xdr:nvGraphicFramePr>
        <xdr:cNvPr id="11" name="Chart 10">
          <a:extLst>
            <a:ext uri="{FF2B5EF4-FFF2-40B4-BE49-F238E27FC236}">
              <a16:creationId xmlns:a16="http://schemas.microsoft.com/office/drawing/2014/main" id="{3A2C2814-74A5-4CAF-8784-2F1E24C1666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35</xdr:col>
      <xdr:colOff>604760</xdr:colOff>
      <xdr:row>25</xdr:row>
      <xdr:rowOff>0</xdr:rowOff>
    </xdr:from>
    <xdr:to>
      <xdr:col>48</xdr:col>
      <xdr:colOff>169333</xdr:colOff>
      <xdr:row>41</xdr:row>
      <xdr:rowOff>33866</xdr:rowOff>
    </xdr:to>
    <xdr:graphicFrame macro="">
      <xdr:nvGraphicFramePr>
        <xdr:cNvPr id="12" name="Chart 11">
          <a:extLst>
            <a:ext uri="{FF2B5EF4-FFF2-40B4-BE49-F238E27FC236}">
              <a16:creationId xmlns:a16="http://schemas.microsoft.com/office/drawing/2014/main" id="{A3E7D2C1-4E51-47DC-B5F4-D762A0FE50A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_rels/pivotCacheDefinition5.xml.rels><?xml version="1.0" encoding="UTF-8" standalone="yes"?>
<Relationships xmlns="http://schemas.openxmlformats.org/package/2006/relationships"><Relationship Id="rId1" Type="http://schemas.openxmlformats.org/officeDocument/2006/relationships/pivotCacheRecords" Target="pivotCacheRecords5.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tharva S. Walekar" refreshedDate="46110.591926504632" createdVersion="8" refreshedVersion="8" minRefreshableVersion="3" recordCount="30" xr:uid="{ED8E106F-FF99-43BD-B939-EAC23FEF0306}">
  <cacheSource type="worksheet">
    <worksheetSource name="Table1"/>
  </cacheSource>
  <cacheFields count="10">
    <cacheField name="Company" numFmtId="0">
      <sharedItems count="5">
        <s v="HCL Tech"/>
        <s v="Infosys"/>
        <s v="TCS"/>
        <s v="Tech Mahindra"/>
        <s v="Wipro"/>
      </sharedItems>
    </cacheField>
    <cacheField name="Year" numFmtId="0">
      <sharedItems containsSemiMixedTypes="0" containsString="0" containsNumber="1" containsInteger="1" minValue="2019" maxValue="2024" count="6">
        <n v="2019"/>
        <n v="2020"/>
        <n v="2021"/>
        <n v="2022"/>
        <n v="2023"/>
        <n v="2024"/>
      </sharedItems>
    </cacheField>
    <cacheField name="Net Profit (Rs. Cr)" numFmtId="2">
      <sharedItems containsSemiMixedTypes="0" containsString="0" containsNumber="1" minValue="2357.8000000000002" maxValue="45908"/>
    </cacheField>
    <cacheField name="Previous year Profit (Rs. Cr0" numFmtId="2">
      <sharedItems containsMixedTypes="1" containsNumber="1" minValue="4033" maxValue="42147"/>
    </cacheField>
    <cacheField name="Operating Profit (Rs. Cr)" numFmtId="2">
      <sharedItems containsSemiMixedTypes="0" containsString="0" containsNumber="1" minValue="5394.7" maxValue="67569"/>
    </cacheField>
    <cacheField name="Sales (Rs. Cr0" numFmtId="2">
      <sharedItems containsSemiMixedTypes="0" containsString="0" containsNumber="1" minValue="34742.1" maxValue="240893"/>
    </cacheField>
    <cacheField name="Pre. Year Sales(Rs. Cr)" numFmtId="2">
      <sharedItems containsMixedTypes="1" containsNumber="1" minValue="34742.1" maxValue="225458"/>
    </cacheField>
    <cacheField name="Profit Growth (%)" numFmtId="0">
      <sharedItems containsMixedTypes="1" containsNumber="1" minValue="-51.2" maxValue="25.7" count="26">
        <s v="-"/>
        <n v="9.26"/>
        <n v="0.8"/>
        <n v="21.12"/>
        <n v="10.02"/>
        <n v="5.73"/>
        <n v="7.73"/>
        <n v="16.61"/>
        <n v="14.26"/>
        <n v="8.98"/>
        <n v="8.8699999999999992"/>
        <n v="2.76"/>
        <n v="0.28000000000000003"/>
        <n v="18.18"/>
        <n v="9.9700000000000006"/>
        <n v="8.92"/>
        <n v="-6.16"/>
        <n v="9.7899999999999991"/>
        <n v="25.7"/>
        <n v="-13.2"/>
        <n v="-51.2"/>
        <n v="7.98"/>
        <n v="11.05"/>
        <n v="13.27"/>
        <n v="-7.19"/>
        <n v="-2.69"/>
      </sharedItems>
    </cacheField>
    <cacheField name="Revenue Growth (%)" numFmtId="0">
      <sharedItems containsMixedTypes="1" containsNumber="1" minValue="-2.4300000000000002" maxValue="28.06" count="26">
        <s v="-"/>
        <n v="16.96"/>
        <n v="6.65"/>
        <n v="13.63"/>
        <n v="18.45"/>
        <n v="8.34"/>
        <n v="9.82"/>
        <n v="10.66"/>
        <n v="21.07"/>
        <n v="20.66"/>
        <n v="4.7"/>
        <n v="7.16"/>
        <n v="4.6100000000000003"/>
        <n v="16.8"/>
        <n v="17.579999999999998"/>
        <n v="6.85"/>
        <n v="6.12"/>
        <n v="2.68"/>
        <n v="17.940000000000001"/>
        <n v="19.36"/>
        <n v="-2.4300000000000002"/>
        <n v="3.59"/>
        <n v="1.3"/>
        <n v="28.06"/>
        <n v="14.09"/>
        <n v="-0.8"/>
      </sharedItems>
    </cacheField>
    <cacheField name="Operating Profit Growth (%)" numFmtId="0">
      <sharedItems containsBlank="1" containsMixedTypes="1" containsNumber="1" minValue="-38.01" maxValue="20.420000000000002" count="27">
        <s v="-"/>
        <n v="20.420000000000002"/>
        <n v="17.010000000000002"/>
        <n v="2.96"/>
        <n v="11.22"/>
        <n v="7.06"/>
        <n v="8.59"/>
        <n v="19.95"/>
        <n v="12.43"/>
        <n v="12.05"/>
        <n v="8.73"/>
        <n v="6.56"/>
        <n v="3.73"/>
        <n v="17.84"/>
        <n v="9.83"/>
        <n v="8.02"/>
        <n v="0.25"/>
        <n v="12.13"/>
        <n v="18.43"/>
        <n v="-4.07"/>
        <n v="-38.01"/>
        <m/>
        <n v="5.69"/>
        <n v="13.87"/>
        <n v="9.5500000000000007"/>
        <n v="1.92"/>
        <n v="1.1499999999999999"/>
      </sharedItems>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tharva S. Walekar" refreshedDate="46110.59991597222" createdVersion="8" refreshedVersion="8" minRefreshableVersion="3" recordCount="30" xr:uid="{E2007E4C-EA07-4460-A62E-F27F36F03CAD}">
  <cacheSource type="worksheet">
    <worksheetSource name="Table2"/>
  </cacheSource>
  <cacheFields count="7">
    <cacheField name="Company" numFmtId="0">
      <sharedItems count="5">
        <s v="HCL Tech"/>
        <s v="Infosys"/>
        <s v="TCS"/>
        <s v="Tech Mahindra"/>
        <s v="Wipro"/>
      </sharedItems>
    </cacheField>
    <cacheField name="Year" numFmtId="0">
      <sharedItems containsSemiMixedTypes="0" containsString="0" containsNumber="1" containsInteger="1" minValue="2019" maxValue="2024" count="6">
        <n v="2019"/>
        <n v="2020"/>
        <n v="2021"/>
        <n v="2022"/>
        <n v="2023"/>
        <n v="2024"/>
      </sharedItems>
    </cacheField>
    <cacheField name="Sales (Rs. Cr)" numFmtId="0">
      <sharedItems containsSemiMixedTypes="0" containsString="0" containsNumber="1" minValue="34742.1" maxValue="240893"/>
    </cacheField>
    <cacheField name="Net Profit (Rs. Cr)" numFmtId="0">
      <sharedItems containsSemiMixedTypes="0" containsString="0" containsNumber="1" minValue="2357.8000000000002" maxValue="45908"/>
    </cacheField>
    <cacheField name="Operating Profit (Rs. Cr)" numFmtId="2">
      <sharedItems containsSemiMixedTypes="0" containsString="0" containsNumber="1" minValue="5394.7" maxValue="67569"/>
    </cacheField>
    <cacheField name="Net Profit Margin (%)" numFmtId="0">
      <sharedItems containsSemiMixedTypes="0" containsString="0" containsNumber="1" minValue="4.53" maxValue="21.49"/>
    </cacheField>
    <cacheField name="Operating Profit Margin (%)" numFmtId="0">
      <sharedItems containsSemiMixedTypes="0" containsString="0" containsNumber="1" minValue="10.38" maxValue="29.88"/>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tharva S. Walekar" refreshedDate="46110.72594502315" createdVersion="8" refreshedVersion="8" minRefreshableVersion="3" recordCount="30" xr:uid="{4B110368-F9A0-48E9-98C9-E329C4932324}">
  <cacheSource type="worksheet">
    <worksheetSource name="Table3"/>
  </cacheSource>
  <cacheFields count="10">
    <cacheField name="Company" numFmtId="0">
      <sharedItems count="5">
        <s v="HCL Tech"/>
        <s v="Infosys"/>
        <s v="TCS"/>
        <s v="Tech Mahindra"/>
        <s v="Wipro"/>
      </sharedItems>
    </cacheField>
    <cacheField name="Year" numFmtId="0">
      <sharedItems containsSemiMixedTypes="0" containsString="0" containsNumber="1" containsInteger="1" minValue="2019" maxValue="2024" count="6">
        <n v="2019"/>
        <n v="2020"/>
        <n v="2021"/>
        <n v="2022"/>
        <n v="2023"/>
        <n v="2024"/>
      </sharedItems>
    </cacheField>
    <cacheField name="Borrowings (Rs. Cr)" numFmtId="2">
      <sharedItems containsSemiMixedTypes="0" containsString="0" containsNumber="1" minValue="62" maxValue="17592.900000000001"/>
    </cacheField>
    <cacheField name="Shareholder Equity" numFmtId="2">
      <sharedItems containsSemiMixedTypes="0" containsString="0" containsNumber="1" minValue="20284.400000000001" maxValue="90489"/>
    </cacheField>
    <cacheField name="Net Profit (Rs. Cr)" numFmtId="2">
      <sharedItems containsSemiMixedTypes="0" containsString="0" containsNumber="1" minValue="2357.8000000000002" maxValue="45908"/>
    </cacheField>
    <cacheField name="Total Assets (Rs. Cr)" numFmtId="2">
      <sharedItems containsSemiMixedTypes="0" containsString="0" containsNumber="1" minValue="33445.800000000003" maxValue="145472"/>
    </cacheField>
    <cacheField name="Debt-to-Equity" numFmtId="0">
      <sharedItems containsSemiMixedTypes="0" containsString="0" containsNumber="1" minValue="0" maxValue="0.27"/>
    </cacheField>
    <cacheField name="ROE %" numFmtId="0">
      <sharedItems containsSemiMixedTypes="0" containsString="0" containsNumber="1" minValue="8.84" maxValue="50.73"/>
    </cacheField>
    <cacheField name="ROA %" numFmtId="0">
      <sharedItems containsSemiMixedTypes="0" containsString="0" containsNumber="1" minValue="5.46" maxValue="31.56"/>
    </cacheField>
    <cacheField name="Asset Turnover" numFmtId="0">
      <sharedItems containsSemiMixedTypes="0" containsString="0" containsNumber="1" minValue="0.71" maxValue="1.66"/>
    </cacheField>
  </cacheFields>
  <extLst>
    <ext xmlns:x14="http://schemas.microsoft.com/office/spreadsheetml/2009/9/main" uri="{725AE2AE-9491-48be-B2B4-4EB974FC3084}">
      <x14:pivotCacheDefinition/>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tharva S. Walekar" refreshedDate="46110.73566215278" createdVersion="8" refreshedVersion="8" minRefreshableVersion="3" recordCount="30" xr:uid="{797A5300-6F70-42DA-B837-445B84B3E969}">
  <cacheSource type="worksheet">
    <worksheetSource name="Table4"/>
  </cacheSource>
  <cacheFields count="4">
    <cacheField name="Company" numFmtId="0">
      <sharedItems count="5">
        <s v="TCS"/>
        <s v="Infosys"/>
        <s v="HCL Tech"/>
        <s v="Wipro"/>
        <s v="Tech Mahindra"/>
      </sharedItems>
    </cacheField>
    <cacheField name="Year" numFmtId="0">
      <sharedItems containsSemiMixedTypes="0" containsString="0" containsNumber="1" containsInteger="1" minValue="2019" maxValue="2024" count="6">
        <n v="2019"/>
        <n v="2020"/>
        <n v="2021"/>
        <n v="2024"/>
        <n v="2022"/>
        <n v="2023"/>
      </sharedItems>
    </cacheField>
    <cacheField name="Sales" numFmtId="2">
      <sharedItems containsSemiMixedTypes="0" containsString="0" containsNumber="1" minValue="34742.1" maxValue="240893"/>
    </cacheField>
    <cacheField name="Revenue Market Share (%)" numFmtId="0">
      <sharedItems containsSemiMixedTypes="0" containsString="0" containsNumber="1" minValue="8.0500000000000007" maxValue="38.21"/>
    </cacheField>
  </cacheFields>
  <extLst>
    <ext xmlns:x14="http://schemas.microsoft.com/office/spreadsheetml/2009/9/main" uri="{725AE2AE-9491-48be-B2B4-4EB974FC3084}">
      <x14:pivotCacheDefinition/>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tharva S. Walekar" refreshedDate="46110.741845138888" createdVersion="8" refreshedVersion="8" minRefreshableVersion="3" recordCount="30" xr:uid="{8A671BFB-251A-4483-953A-F21C748017BC}">
  <cacheSource type="worksheet">
    <worksheetSource name="Table5"/>
  </cacheSource>
  <cacheFields count="8">
    <cacheField name="Company" numFmtId="0">
      <sharedItems count="5">
        <s v="HCL Tech"/>
        <s v="Infosys"/>
        <s v="TCS"/>
        <s v="Tech Mahindra"/>
        <s v="Wipro"/>
      </sharedItems>
    </cacheField>
    <cacheField name="Year" numFmtId="0">
      <sharedItems containsSemiMixedTypes="0" containsString="0" containsNumber="1" containsInteger="1" minValue="2019" maxValue="2024" count="6">
        <n v="2019"/>
        <n v="2020"/>
        <n v="2021"/>
        <n v="2022"/>
        <n v="2023"/>
        <n v="2024"/>
      </sharedItems>
    </cacheField>
    <cacheField name="Cash &amp; Bank" numFmtId="2">
      <sharedItems containsSemiMixedTypes="0" containsString="0" containsNumber="1" minValue="2358.6999999999998" maxValue="24714"/>
    </cacheField>
    <cacheField name="Total Liabilities (Rs. Cr)" numFmtId="2">
      <sharedItems containsSemiMixedTypes="0" containsString="0" containsNumber="1" minValue="33445.800000000003" maxValue="145472"/>
    </cacheField>
    <cacheField name="Receivables (Rs. Cr)" numFmtId="2">
      <sharedItems containsSemiMixedTypes="0" containsString="0" containsNumber="1" minValue="6472.8" maxValue="53577"/>
    </cacheField>
    <cacheField name="Sales (Rs. Cr)" numFmtId="2">
      <sharedItems containsSemiMixedTypes="0" containsString="0" containsNumber="1" minValue="34742.1" maxValue="240893"/>
    </cacheField>
    <cacheField name="Cash Ratio" numFmtId="0">
      <sharedItems containsSemiMixedTypes="0" containsString="0" containsNumber="1" minValue="0.06" maxValue="0.23"/>
    </cacheField>
    <cacheField name="Receivables-to-Revenue(%)" numFmtId="0">
      <sharedItems containsSemiMixedTypes="0" containsString="0" containsNumber="1" minValue="12.87" maxValue="26.73"/>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0">
  <r>
    <x v="0"/>
    <x v="0"/>
    <n v="10120"/>
    <s v="-"/>
    <n v="14869"/>
    <n v="60427"/>
    <s v="-"/>
    <x v="0"/>
    <x v="0"/>
    <x v="0"/>
  </r>
  <r>
    <x v="0"/>
    <x v="1"/>
    <n v="11057"/>
    <n v="10120"/>
    <n v="17905"/>
    <n v="70676"/>
    <n v="60427"/>
    <x v="1"/>
    <x v="1"/>
    <x v="1"/>
  </r>
  <r>
    <x v="0"/>
    <x v="2"/>
    <n v="11145"/>
    <n v="11057"/>
    <n v="20951"/>
    <n v="75379"/>
    <n v="70676"/>
    <x v="2"/>
    <x v="2"/>
    <x v="2"/>
  </r>
  <r>
    <x v="0"/>
    <x v="3"/>
    <n v="13499"/>
    <n v="11145"/>
    <n v="21572"/>
    <n v="85651"/>
    <n v="75379"/>
    <x v="3"/>
    <x v="3"/>
    <x v="3"/>
  </r>
  <r>
    <x v="0"/>
    <x v="4"/>
    <n v="14851"/>
    <n v="13499"/>
    <n v="23992"/>
    <n v="101456"/>
    <n v="85651"/>
    <x v="4"/>
    <x v="4"/>
    <x v="4"/>
  </r>
  <r>
    <x v="0"/>
    <x v="5"/>
    <n v="15702"/>
    <n v="14851"/>
    <n v="25685"/>
    <n v="109913"/>
    <n v="101456"/>
    <x v="5"/>
    <x v="5"/>
    <x v="5"/>
  </r>
  <r>
    <x v="1"/>
    <x v="0"/>
    <n v="15404"/>
    <s v="-"/>
    <n v="23046"/>
    <n v="82675"/>
    <s v="-"/>
    <x v="0"/>
    <x v="0"/>
    <x v="0"/>
  </r>
  <r>
    <x v="1"/>
    <x v="1"/>
    <n v="16594"/>
    <n v="15404"/>
    <n v="25025"/>
    <n v="90791"/>
    <n v="82675"/>
    <x v="6"/>
    <x v="6"/>
    <x v="6"/>
  </r>
  <r>
    <x v="1"/>
    <x v="2"/>
    <n v="19351"/>
    <n v="16594"/>
    <n v="30018"/>
    <n v="100472"/>
    <n v="90791"/>
    <x v="7"/>
    <x v="7"/>
    <x v="7"/>
  </r>
  <r>
    <x v="1"/>
    <x v="3"/>
    <n v="22110"/>
    <n v="19351"/>
    <n v="33750"/>
    <n v="121641"/>
    <n v="100472"/>
    <x v="8"/>
    <x v="8"/>
    <x v="8"/>
  </r>
  <r>
    <x v="1"/>
    <x v="4"/>
    <n v="24095"/>
    <n v="22110"/>
    <n v="37818"/>
    <n v="146767"/>
    <n v="121641"/>
    <x v="9"/>
    <x v="9"/>
    <x v="9"/>
  </r>
  <r>
    <x v="1"/>
    <x v="5"/>
    <n v="26233"/>
    <n v="24095"/>
    <n v="41121"/>
    <n v="153670"/>
    <n v="146767"/>
    <x v="10"/>
    <x v="10"/>
    <x v="10"/>
  </r>
  <r>
    <x v="2"/>
    <x v="0"/>
    <n v="31472"/>
    <s v="-"/>
    <n v="43727"/>
    <n v="146463"/>
    <s v="-"/>
    <x v="0"/>
    <x v="0"/>
    <x v="0"/>
  </r>
  <r>
    <x v="2"/>
    <x v="1"/>
    <n v="32340"/>
    <n v="31472"/>
    <n v="46594"/>
    <n v="156949"/>
    <n v="146463"/>
    <x v="11"/>
    <x v="11"/>
    <x v="11"/>
  </r>
  <r>
    <x v="2"/>
    <x v="2"/>
    <n v="32430"/>
    <n v="32340"/>
    <n v="48330"/>
    <n v="164177"/>
    <n v="156949"/>
    <x v="12"/>
    <x v="12"/>
    <x v="12"/>
  </r>
  <r>
    <x v="2"/>
    <x v="3"/>
    <n v="38327"/>
    <n v="32430"/>
    <n v="56953"/>
    <n v="191754"/>
    <n v="164177"/>
    <x v="13"/>
    <x v="13"/>
    <x v="13"/>
  </r>
  <r>
    <x v="2"/>
    <x v="4"/>
    <n v="42147"/>
    <n v="38327"/>
    <n v="62552"/>
    <n v="225458"/>
    <n v="191754"/>
    <x v="14"/>
    <x v="14"/>
    <x v="14"/>
  </r>
  <r>
    <x v="2"/>
    <x v="5"/>
    <n v="45908"/>
    <n v="42147"/>
    <n v="67569"/>
    <n v="240893"/>
    <n v="225458"/>
    <x v="15"/>
    <x v="15"/>
    <x v="15"/>
  </r>
  <r>
    <x v="3"/>
    <x v="0"/>
    <n v="4297.6000000000004"/>
    <s v="-"/>
    <n v="6814.4"/>
    <n v="34742.1"/>
    <s v="-"/>
    <x v="0"/>
    <x v="0"/>
    <x v="0"/>
  </r>
  <r>
    <x v="3"/>
    <x v="1"/>
    <n v="4033"/>
    <n v="4297.6000000000004"/>
    <n v="6831.1"/>
    <n v="36867.699999999997"/>
    <n v="34742.1"/>
    <x v="16"/>
    <x v="16"/>
    <x v="16"/>
  </r>
  <r>
    <x v="3"/>
    <x v="2"/>
    <n v="4428"/>
    <n v="4033"/>
    <n v="7659.6"/>
    <n v="37855.1"/>
    <n v="36867.699999999997"/>
    <x v="17"/>
    <x v="17"/>
    <x v="17"/>
  </r>
  <r>
    <x v="3"/>
    <x v="3"/>
    <n v="5566.1"/>
    <n v="4428"/>
    <n v="9071.1"/>
    <n v="44646"/>
    <n v="37855.1"/>
    <x v="18"/>
    <x v="18"/>
    <x v="18"/>
  </r>
  <r>
    <x v="3"/>
    <x v="4"/>
    <n v="4831.3"/>
    <n v="5566.1"/>
    <n v="8702.1"/>
    <n v="53290.2"/>
    <n v="44646"/>
    <x v="19"/>
    <x v="19"/>
    <x v="19"/>
  </r>
  <r>
    <x v="3"/>
    <x v="5"/>
    <n v="2357.8000000000002"/>
    <n v="4831.3"/>
    <n v="5394.7"/>
    <n v="51995.5"/>
    <n v="53290.2"/>
    <x v="20"/>
    <x v="20"/>
    <x v="20"/>
  </r>
  <r>
    <x v="4"/>
    <x v="0"/>
    <n v="9003.7000000000007"/>
    <s v="-"/>
    <n v="14212.2"/>
    <n v="59018.9"/>
    <s v="-"/>
    <x v="0"/>
    <x v="0"/>
    <x v="21"/>
  </r>
  <r>
    <x v="4"/>
    <x v="1"/>
    <n v="9722.2999999999993"/>
    <n v="9003.7000000000007"/>
    <n v="15020.7"/>
    <n v="61137.599999999999"/>
    <n v="59018.9"/>
    <x v="21"/>
    <x v="21"/>
    <x v="22"/>
  </r>
  <r>
    <x v="4"/>
    <x v="2"/>
    <n v="10796.4"/>
    <n v="9722.2999999999993"/>
    <n v="17103.5"/>
    <n v="61934.9"/>
    <n v="61137.599999999999"/>
    <x v="22"/>
    <x v="22"/>
    <x v="23"/>
  </r>
  <r>
    <x v="4"/>
    <x v="3"/>
    <n v="12229.6"/>
    <n v="10796.4"/>
    <n v="18737.3"/>
    <n v="79312"/>
    <n v="61934.9"/>
    <x v="23"/>
    <x v="23"/>
    <x v="24"/>
  </r>
  <r>
    <x v="4"/>
    <x v="4"/>
    <n v="11350"/>
    <n v="12229.6"/>
    <n v="19097.099999999999"/>
    <n v="90487.6"/>
    <n v="79312"/>
    <x v="24"/>
    <x v="24"/>
    <x v="25"/>
  </r>
  <r>
    <x v="4"/>
    <x v="5"/>
    <n v="11045.2"/>
    <n v="11350"/>
    <n v="19316.400000000001"/>
    <n v="89760.3"/>
    <n v="90487.6"/>
    <x v="25"/>
    <x v="25"/>
    <x v="26"/>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0">
  <r>
    <x v="0"/>
    <x v="0"/>
    <n v="60427"/>
    <n v="10120"/>
    <n v="14869"/>
    <n v="16.75"/>
    <n v="24.61"/>
  </r>
  <r>
    <x v="0"/>
    <x v="1"/>
    <n v="70676"/>
    <n v="11057"/>
    <n v="17905"/>
    <n v="15.64"/>
    <n v="25.33"/>
  </r>
  <r>
    <x v="0"/>
    <x v="2"/>
    <n v="75379"/>
    <n v="11145"/>
    <n v="20951"/>
    <n v="14.79"/>
    <n v="27.79"/>
  </r>
  <r>
    <x v="0"/>
    <x v="3"/>
    <n v="85651"/>
    <n v="13499"/>
    <n v="21572"/>
    <n v="15.76"/>
    <n v="25.19"/>
  </r>
  <r>
    <x v="0"/>
    <x v="4"/>
    <n v="101456"/>
    <n v="14851"/>
    <n v="23992"/>
    <n v="14.64"/>
    <n v="23.65"/>
  </r>
  <r>
    <x v="0"/>
    <x v="5"/>
    <n v="109913"/>
    <n v="15702"/>
    <n v="25685"/>
    <n v="14.29"/>
    <n v="23.37"/>
  </r>
  <r>
    <x v="1"/>
    <x v="0"/>
    <n v="82675"/>
    <n v="15404"/>
    <n v="23046"/>
    <n v="18.63"/>
    <n v="27.88"/>
  </r>
  <r>
    <x v="1"/>
    <x v="1"/>
    <n v="90791"/>
    <n v="16594"/>
    <n v="25025"/>
    <n v="18.28"/>
    <n v="27.56"/>
  </r>
  <r>
    <x v="1"/>
    <x v="2"/>
    <n v="100472"/>
    <n v="19351"/>
    <n v="30018"/>
    <n v="19.260000000000002"/>
    <n v="29.88"/>
  </r>
  <r>
    <x v="1"/>
    <x v="3"/>
    <n v="121641"/>
    <n v="22110"/>
    <n v="33750"/>
    <n v="18.18"/>
    <n v="27.75"/>
  </r>
  <r>
    <x v="1"/>
    <x v="4"/>
    <n v="146767"/>
    <n v="24095"/>
    <n v="37818"/>
    <n v="16.420000000000002"/>
    <n v="25.77"/>
  </r>
  <r>
    <x v="1"/>
    <x v="5"/>
    <n v="153670"/>
    <n v="26233"/>
    <n v="41121"/>
    <n v="17.07"/>
    <n v="26.76"/>
  </r>
  <r>
    <x v="2"/>
    <x v="0"/>
    <n v="146463"/>
    <n v="31472"/>
    <n v="43727"/>
    <n v="21.49"/>
    <n v="29.86"/>
  </r>
  <r>
    <x v="2"/>
    <x v="1"/>
    <n v="156949"/>
    <n v="32340"/>
    <n v="46594"/>
    <n v="20.61"/>
    <n v="29.69"/>
  </r>
  <r>
    <x v="2"/>
    <x v="2"/>
    <n v="164177"/>
    <n v="32430"/>
    <n v="48330"/>
    <n v="19.75"/>
    <n v="29.44"/>
  </r>
  <r>
    <x v="2"/>
    <x v="3"/>
    <n v="191754"/>
    <n v="38327"/>
    <n v="56953"/>
    <n v="19.989999999999998"/>
    <n v="29.7"/>
  </r>
  <r>
    <x v="2"/>
    <x v="4"/>
    <n v="225458"/>
    <n v="42147"/>
    <n v="62552"/>
    <n v="18.690000000000001"/>
    <n v="27.74"/>
  </r>
  <r>
    <x v="2"/>
    <x v="5"/>
    <n v="240893"/>
    <n v="45908"/>
    <n v="67569"/>
    <n v="19.059999999999999"/>
    <n v="28.05"/>
  </r>
  <r>
    <x v="3"/>
    <x v="0"/>
    <n v="34742.1"/>
    <n v="4297.6000000000004"/>
    <n v="6814.4"/>
    <n v="12.37"/>
    <n v="19.61"/>
  </r>
  <r>
    <x v="3"/>
    <x v="1"/>
    <n v="36867.699999999997"/>
    <n v="4033"/>
    <n v="6831.1"/>
    <n v="10.94"/>
    <n v="18.53"/>
  </r>
  <r>
    <x v="3"/>
    <x v="2"/>
    <n v="37855.1"/>
    <n v="4428"/>
    <n v="7659.6"/>
    <n v="11.7"/>
    <n v="20.23"/>
  </r>
  <r>
    <x v="3"/>
    <x v="3"/>
    <n v="44646"/>
    <n v="5566.1"/>
    <n v="9071.1"/>
    <n v="12.47"/>
    <n v="20.32"/>
  </r>
  <r>
    <x v="3"/>
    <x v="4"/>
    <n v="53290.2"/>
    <n v="4831.3"/>
    <n v="8702.1"/>
    <n v="9.07"/>
    <n v="16.329999999999998"/>
  </r>
  <r>
    <x v="3"/>
    <x v="5"/>
    <n v="51995.5"/>
    <n v="2357.8000000000002"/>
    <n v="5394.7"/>
    <n v="4.53"/>
    <n v="10.38"/>
  </r>
  <r>
    <x v="4"/>
    <x v="0"/>
    <n v="59018.9"/>
    <n v="9003.7000000000007"/>
    <n v="14212.2"/>
    <n v="15.26"/>
    <n v="24.08"/>
  </r>
  <r>
    <x v="4"/>
    <x v="1"/>
    <n v="61137.599999999999"/>
    <n v="9722.2999999999993"/>
    <n v="15020.7"/>
    <n v="15.9"/>
    <n v="24.57"/>
  </r>
  <r>
    <x v="4"/>
    <x v="2"/>
    <n v="61934.9"/>
    <n v="10796.4"/>
    <n v="17103.5"/>
    <n v="17.43"/>
    <n v="27.62"/>
  </r>
  <r>
    <x v="4"/>
    <x v="3"/>
    <n v="79312"/>
    <n v="12229.6"/>
    <n v="18737.3"/>
    <n v="15.42"/>
    <n v="23.62"/>
  </r>
  <r>
    <x v="4"/>
    <x v="4"/>
    <n v="90487.6"/>
    <n v="11350"/>
    <n v="19097.099999999999"/>
    <n v="12.54"/>
    <n v="21.1"/>
  </r>
  <r>
    <x v="4"/>
    <x v="5"/>
    <n v="89760.3"/>
    <n v="11045.2"/>
    <n v="19316.400000000001"/>
    <n v="12.31"/>
    <n v="21.52"/>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0">
  <r>
    <x v="0"/>
    <x v="0"/>
    <n v="4195"/>
    <n v="41366"/>
    <n v="10120"/>
    <n v="58349"/>
    <n v="0.1"/>
    <n v="24.46"/>
    <n v="17.34"/>
    <n v="1.04"/>
  </r>
  <r>
    <x v="0"/>
    <x v="1"/>
    <n v="7986"/>
    <n v="51267"/>
    <n v="11057"/>
    <n v="82819"/>
    <n v="0.16"/>
    <n v="21.57"/>
    <n v="13.35"/>
    <n v="0.85"/>
  </r>
  <r>
    <x v="0"/>
    <x v="2"/>
    <n v="6864"/>
    <n v="59913"/>
    <n v="11145"/>
    <n v="86047"/>
    <n v="0.11"/>
    <n v="18.600000000000001"/>
    <n v="12.95"/>
    <n v="0.88"/>
  </r>
  <r>
    <x v="0"/>
    <x v="3"/>
    <n v="6343"/>
    <n v="61914"/>
    <n v="13499"/>
    <n v="88921"/>
    <n v="0.1"/>
    <n v="21.8"/>
    <n v="15.18"/>
    <n v="0.96"/>
  </r>
  <r>
    <x v="0"/>
    <x v="4"/>
    <n v="4794"/>
    <n v="65405"/>
    <n v="14851"/>
    <n v="93250"/>
    <n v="7.0000000000000007E-2"/>
    <n v="22.71"/>
    <n v="15.93"/>
    <n v="1.0900000000000001"/>
  </r>
  <r>
    <x v="0"/>
    <x v="5"/>
    <n v="5758"/>
    <n v="68263"/>
    <n v="15702"/>
    <n v="99006"/>
    <n v="0.08"/>
    <n v="23"/>
    <n v="15.86"/>
    <n v="1.1100000000000001"/>
  </r>
  <r>
    <x v="1"/>
    <x v="0"/>
    <n v="4500"/>
    <n v="64948"/>
    <n v="15404"/>
    <n v="84066"/>
    <n v="7.0000000000000007E-2"/>
    <n v="23.72"/>
    <n v="18.32"/>
    <n v="0.98"/>
  </r>
  <r>
    <x v="1"/>
    <x v="1"/>
    <n v="4633"/>
    <n v="65450"/>
    <n v="16594"/>
    <n v="91800"/>
    <n v="7.0000000000000007E-2"/>
    <n v="25.35"/>
    <n v="18.079999999999998"/>
    <n v="0.99"/>
  </r>
  <r>
    <x v="1"/>
    <x v="2"/>
    <n v="5325"/>
    <n v="76351"/>
    <n v="19351"/>
    <n v="107511"/>
    <n v="7.0000000000000007E-2"/>
    <n v="25.34"/>
    <n v="18"/>
    <n v="0.93"/>
  </r>
  <r>
    <x v="1"/>
    <x v="3"/>
    <n v="5474"/>
    <n v="75350"/>
    <n v="22110"/>
    <n v="116729"/>
    <n v="7.0000000000000007E-2"/>
    <n v="29.34"/>
    <n v="18.940000000000001"/>
    <n v="1.04"/>
  </r>
  <r>
    <x v="1"/>
    <x v="4"/>
    <n v="8299"/>
    <n v="75407"/>
    <n v="24095"/>
    <n v="124596"/>
    <n v="0.11"/>
    <n v="31.95"/>
    <n v="19.34"/>
    <n v="1.18"/>
  </r>
  <r>
    <x v="1"/>
    <x v="5"/>
    <n v="8359"/>
    <n v="88116"/>
    <n v="26233"/>
    <n v="137360"/>
    <n v="0.09"/>
    <n v="29.77"/>
    <n v="19.100000000000001"/>
    <n v="1.1200000000000001"/>
  </r>
  <r>
    <x v="2"/>
    <x v="0"/>
    <n v="62"/>
    <n v="89446"/>
    <n v="31472"/>
    <n v="113901"/>
    <n v="0"/>
    <n v="35.19"/>
    <n v="27.63"/>
    <n v="1.29"/>
  </r>
  <r>
    <x v="2"/>
    <x v="1"/>
    <n v="8174"/>
    <n v="84126"/>
    <n v="32340"/>
    <n v="120127"/>
    <n v="0.1"/>
    <n v="38.44"/>
    <n v="26.92"/>
    <n v="1.31"/>
  </r>
  <r>
    <x v="2"/>
    <x v="2"/>
    <n v="7795"/>
    <n v="86433"/>
    <n v="32430"/>
    <n v="129992"/>
    <n v="0.09"/>
    <n v="37.520000000000003"/>
    <n v="24.95"/>
    <n v="1.26"/>
  </r>
  <r>
    <x v="2"/>
    <x v="3"/>
    <n v="7818"/>
    <n v="89139"/>
    <n v="38327"/>
    <n v="140924"/>
    <n v="0.09"/>
    <n v="43"/>
    <n v="27.2"/>
    <n v="1.36"/>
  </r>
  <r>
    <x v="2"/>
    <x v="4"/>
    <n v="7688"/>
    <n v="90424"/>
    <n v="42147"/>
    <n v="142859"/>
    <n v="0.09"/>
    <n v="46.61"/>
    <n v="29.5"/>
    <n v="1.58"/>
  </r>
  <r>
    <x v="2"/>
    <x v="5"/>
    <n v="8021"/>
    <n v="90489"/>
    <n v="45908"/>
    <n v="145472"/>
    <n v="0.09"/>
    <n v="50.73"/>
    <n v="31.56"/>
    <n v="1.66"/>
  </r>
  <r>
    <x v="3"/>
    <x v="0"/>
    <n v="1995.5"/>
    <n v="20284.400000000001"/>
    <n v="4297.6000000000004"/>
    <n v="33445.800000000003"/>
    <n v="0.1"/>
    <n v="21.19"/>
    <n v="12.85"/>
    <n v="1.04"/>
  </r>
  <r>
    <x v="3"/>
    <x v="1"/>
    <n v="3670.5"/>
    <n v="21813.1"/>
    <n v="4033"/>
    <n v="37317.9"/>
    <n v="0.17"/>
    <n v="18.489999999999998"/>
    <n v="10.81"/>
    <n v="0.99"/>
  </r>
  <r>
    <x v="3"/>
    <x v="2"/>
    <n v="2900.8"/>
    <n v="24865"/>
    <n v="4428"/>
    <n v="39601.9"/>
    <n v="0.12"/>
    <n v="17.809999999999999"/>
    <n v="11.18"/>
    <n v="0.96"/>
  </r>
  <r>
    <x v="3"/>
    <x v="3"/>
    <n v="2618.4"/>
    <n v="26885.7"/>
    <n v="5566.1"/>
    <n v="44415.5"/>
    <n v="0.1"/>
    <n v="20.7"/>
    <n v="12.53"/>
    <n v="1.01"/>
  </r>
  <r>
    <x v="3"/>
    <x v="4"/>
    <n v="2740.2"/>
    <n v="27924.5"/>
    <n v="4831.3"/>
    <n v="45827.199999999997"/>
    <n v="0.1"/>
    <n v="17.3"/>
    <n v="10.54"/>
    <n v="1.1599999999999999"/>
  </r>
  <r>
    <x v="3"/>
    <x v="5"/>
    <n v="2536.6999999999998"/>
    <n v="26669.4"/>
    <n v="2357.8000000000002"/>
    <n v="43149.1"/>
    <n v="0.1"/>
    <n v="8.84"/>
    <n v="5.46"/>
    <n v="1.21"/>
  </r>
  <r>
    <x v="4"/>
    <x v="0"/>
    <n v="9946.7000000000007"/>
    <n v="56422.6"/>
    <n v="9003.7000000000007"/>
    <n v="82586.399999999994"/>
    <n v="0.18"/>
    <n v="15.96"/>
    <n v="10.9"/>
    <n v="0.71"/>
  </r>
  <r>
    <x v="4"/>
    <x v="1"/>
    <n v="9724"/>
    <n v="55321.7"/>
    <n v="9722.2999999999993"/>
    <n v="80999.600000000006"/>
    <n v="0.18"/>
    <n v="17.57"/>
    <n v="12"/>
    <n v="0.75"/>
  </r>
  <r>
    <x v="4"/>
    <x v="2"/>
    <n v="10451.4"/>
    <n v="54901"/>
    <n v="10796.4"/>
    <n v="82565.8"/>
    <n v="0.19"/>
    <n v="19.670000000000002"/>
    <n v="13.08"/>
    <n v="0.75"/>
  </r>
  <r>
    <x v="4"/>
    <x v="3"/>
    <n v="17592.900000000001"/>
    <n v="65403"/>
    <n v="12229.6"/>
    <n v="107275.6"/>
    <n v="0.27"/>
    <n v="18.7"/>
    <n v="11.4"/>
    <n v="0.74"/>
  </r>
  <r>
    <x v="4"/>
    <x v="4"/>
    <n v="17466.599999999999"/>
    <n v="77667.899999999994"/>
    <n v="11350"/>
    <n v="116923.7"/>
    <n v="0.22"/>
    <n v="14.61"/>
    <n v="9.7100000000000009"/>
    <n v="0.77"/>
  </r>
  <r>
    <x v="4"/>
    <x v="5"/>
    <n v="16464.900000000001"/>
    <n v="74988.3"/>
    <n v="11045.2"/>
    <n v="115064.2"/>
    <n v="0.22"/>
    <n v="14.73"/>
    <n v="9.6"/>
    <n v="0.78"/>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0">
  <r>
    <x v="0"/>
    <x v="0"/>
    <n v="146463"/>
    <n v="38.21"/>
  </r>
  <r>
    <x v="0"/>
    <x v="1"/>
    <n v="156949"/>
    <n v="37.69"/>
  </r>
  <r>
    <x v="0"/>
    <x v="2"/>
    <n v="164177"/>
    <n v="37.33"/>
  </r>
  <r>
    <x v="0"/>
    <x v="3"/>
    <n v="240893"/>
    <n v="37.28"/>
  </r>
  <r>
    <x v="0"/>
    <x v="4"/>
    <n v="191754"/>
    <n v="36.659999999999997"/>
  </r>
  <r>
    <x v="0"/>
    <x v="5"/>
    <n v="225458"/>
    <n v="36.51"/>
  </r>
  <r>
    <x v="1"/>
    <x v="3"/>
    <n v="153670"/>
    <n v="23.78"/>
  </r>
  <r>
    <x v="1"/>
    <x v="5"/>
    <n v="146767"/>
    <n v="23.77"/>
  </r>
  <r>
    <x v="1"/>
    <x v="4"/>
    <n v="121641"/>
    <n v="23.26"/>
  </r>
  <r>
    <x v="1"/>
    <x v="2"/>
    <n v="100472"/>
    <n v="22.84"/>
  </r>
  <r>
    <x v="1"/>
    <x v="1"/>
    <n v="90791"/>
    <n v="21.8"/>
  </r>
  <r>
    <x v="1"/>
    <x v="0"/>
    <n v="82675"/>
    <n v="21.57"/>
  </r>
  <r>
    <x v="2"/>
    <x v="2"/>
    <n v="75379"/>
    <n v="17.14"/>
  </r>
  <r>
    <x v="2"/>
    <x v="3"/>
    <n v="109913"/>
    <n v="17.010000000000002"/>
  </r>
  <r>
    <x v="2"/>
    <x v="1"/>
    <n v="70676"/>
    <n v="16.97"/>
  </r>
  <r>
    <x v="2"/>
    <x v="5"/>
    <n v="101456"/>
    <n v="16.43"/>
  </r>
  <r>
    <x v="2"/>
    <x v="4"/>
    <n v="85651"/>
    <n v="16.38"/>
  </r>
  <r>
    <x v="2"/>
    <x v="0"/>
    <n v="60427"/>
    <n v="15.76"/>
  </r>
  <r>
    <x v="3"/>
    <x v="0"/>
    <n v="59018.9"/>
    <n v="15.4"/>
  </r>
  <r>
    <x v="3"/>
    <x v="4"/>
    <n v="79312"/>
    <n v="15.16"/>
  </r>
  <r>
    <x v="3"/>
    <x v="1"/>
    <n v="61137.599999999999"/>
    <n v="14.68"/>
  </r>
  <r>
    <x v="3"/>
    <x v="5"/>
    <n v="90487.6"/>
    <n v="14.65"/>
  </r>
  <r>
    <x v="3"/>
    <x v="2"/>
    <n v="61934.9"/>
    <n v="14.08"/>
  </r>
  <r>
    <x v="3"/>
    <x v="3"/>
    <n v="89760.3"/>
    <n v="13.89"/>
  </r>
  <r>
    <x v="4"/>
    <x v="0"/>
    <n v="34742.1"/>
    <n v="9.06"/>
  </r>
  <r>
    <x v="4"/>
    <x v="1"/>
    <n v="36867.699999999997"/>
    <n v="8.85"/>
  </r>
  <r>
    <x v="4"/>
    <x v="5"/>
    <n v="53290.2"/>
    <n v="8.6300000000000008"/>
  </r>
  <r>
    <x v="4"/>
    <x v="2"/>
    <n v="37855.1"/>
    <n v="8.61"/>
  </r>
  <r>
    <x v="4"/>
    <x v="4"/>
    <n v="44646"/>
    <n v="8.5399999999999991"/>
  </r>
  <r>
    <x v="4"/>
    <x v="3"/>
    <n v="51995.5"/>
    <n v="8.0500000000000007"/>
  </r>
</pivotCacheRecords>
</file>

<file path=xl/pivotCache/pivotCacheRecords5.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0">
  <r>
    <x v="0"/>
    <x v="0"/>
    <n v="7872"/>
    <n v="58349"/>
    <n v="11706"/>
    <n v="60427"/>
    <n v="0.13"/>
    <n v="19.37"/>
  </r>
  <r>
    <x v="0"/>
    <x v="1"/>
    <n v="4976"/>
    <n v="82819"/>
    <n v="14131"/>
    <n v="70676"/>
    <n v="0.06"/>
    <n v="19.989999999999998"/>
  </r>
  <r>
    <x v="0"/>
    <x v="2"/>
    <n v="8888"/>
    <n v="86047"/>
    <n v="17525"/>
    <n v="75379"/>
    <n v="0.1"/>
    <n v="23.25"/>
  </r>
  <r>
    <x v="0"/>
    <x v="3"/>
    <n v="12636"/>
    <n v="88921"/>
    <n v="20671"/>
    <n v="85651"/>
    <n v="0.14000000000000001"/>
    <n v="24.13"/>
  </r>
  <r>
    <x v="0"/>
    <x v="4"/>
    <n v="14724"/>
    <n v="93250"/>
    <n v="25506"/>
    <n v="101456"/>
    <n v="0.16"/>
    <n v="25.14"/>
  </r>
  <r>
    <x v="0"/>
    <x v="5"/>
    <n v="20150"/>
    <n v="99006"/>
    <n v="25521"/>
    <n v="109913"/>
    <n v="0.2"/>
    <n v="23.22"/>
  </r>
  <r>
    <x v="1"/>
    <x v="0"/>
    <n v="19568"/>
    <n v="84066"/>
    <n v="14827"/>
    <n v="82675"/>
    <n v="0.23"/>
    <n v="17.93"/>
  </r>
  <r>
    <x v="1"/>
    <x v="1"/>
    <n v="18649"/>
    <n v="91800"/>
    <n v="18487"/>
    <n v="90791"/>
    <n v="0.2"/>
    <n v="20.36"/>
  </r>
  <r>
    <x v="1"/>
    <x v="2"/>
    <n v="24714"/>
    <n v="107511"/>
    <n v="19294"/>
    <n v="100472"/>
    <n v="0.23"/>
    <n v="19.2"/>
  </r>
  <r>
    <x v="1"/>
    <x v="3"/>
    <n v="17472"/>
    <n v="116729"/>
    <n v="22698"/>
    <n v="121641"/>
    <n v="0.15"/>
    <n v="18.66"/>
  </r>
  <r>
    <x v="1"/>
    <x v="4"/>
    <n v="12173"/>
    <n v="124596"/>
    <n v="25424"/>
    <n v="146767"/>
    <n v="0.1"/>
    <n v="17.32"/>
  </r>
  <r>
    <x v="1"/>
    <x v="5"/>
    <n v="14786"/>
    <n v="137360"/>
    <n v="30193"/>
    <n v="153670"/>
    <n v="0.11"/>
    <n v="19.649999999999999"/>
  </r>
  <r>
    <x v="2"/>
    <x v="0"/>
    <n v="12848"/>
    <n v="113901"/>
    <n v="27346"/>
    <n v="146463"/>
    <n v="0.11"/>
    <n v="18.670000000000002"/>
  </r>
  <r>
    <x v="2"/>
    <x v="1"/>
    <n v="9666"/>
    <n v="120127"/>
    <n v="30532"/>
    <n v="156949"/>
    <n v="0.08"/>
    <n v="19.45"/>
  </r>
  <r>
    <x v="2"/>
    <x v="2"/>
    <n v="9329"/>
    <n v="129992"/>
    <n v="30079"/>
    <n v="164177"/>
    <n v="7.0000000000000007E-2"/>
    <n v="18.32"/>
  </r>
  <r>
    <x v="2"/>
    <x v="3"/>
    <n v="18221"/>
    <n v="140924"/>
    <n v="41810"/>
    <n v="191754"/>
    <n v="0.13"/>
    <n v="21.8"/>
  </r>
  <r>
    <x v="2"/>
    <x v="4"/>
    <n v="11032"/>
    <n v="142859"/>
    <n v="49954"/>
    <n v="225458"/>
    <n v="0.08"/>
    <n v="22.16"/>
  </r>
  <r>
    <x v="2"/>
    <x v="5"/>
    <n v="13286"/>
    <n v="145472"/>
    <n v="53577"/>
    <n v="240893"/>
    <n v="0.09"/>
    <n v="22.24"/>
  </r>
  <r>
    <x v="3"/>
    <x v="0"/>
    <n v="2358.6999999999998"/>
    <n v="33445.800000000003"/>
    <n v="6958.6"/>
    <n v="34742.1"/>
    <n v="7.0000000000000007E-2"/>
    <n v="20.03"/>
  </r>
  <r>
    <x v="3"/>
    <x v="1"/>
    <n v="3148.3"/>
    <n v="37317.9"/>
    <n v="7577.2"/>
    <n v="36867.699999999997"/>
    <n v="0.08"/>
    <n v="20.55"/>
  </r>
  <r>
    <x v="3"/>
    <x v="2"/>
    <n v="2835.2"/>
    <n v="39601.9"/>
    <n v="6472.8"/>
    <n v="37855.1"/>
    <n v="7.0000000000000007E-2"/>
    <n v="17.100000000000001"/>
  </r>
  <r>
    <x v="3"/>
    <x v="3"/>
    <n v="3974.5"/>
    <n v="44415.5"/>
    <n v="11933.4"/>
    <n v="44646"/>
    <n v="0.09"/>
    <n v="26.73"/>
  </r>
  <r>
    <x v="3"/>
    <x v="4"/>
    <n v="4254.7"/>
    <n v="45827.199999999997"/>
    <n v="12881.6"/>
    <n v="53290.2"/>
    <n v="0.09"/>
    <n v="24.17"/>
  </r>
  <r>
    <x v="3"/>
    <x v="5"/>
    <n v="4735.5"/>
    <n v="43149.1"/>
    <n v="11401.1"/>
    <n v="51995.5"/>
    <n v="0.11"/>
    <n v="21.93"/>
  </r>
  <r>
    <x v="4"/>
    <x v="0"/>
    <n v="15852.9"/>
    <n v="82586.399999999994"/>
    <n v="10048.9"/>
    <n v="59018.9"/>
    <n v="0.19"/>
    <n v="17.03"/>
  </r>
  <r>
    <x v="4"/>
    <x v="1"/>
    <n v="14449.9"/>
    <n v="80999.600000000006"/>
    <n v="10447.4"/>
    <n v="61137.599999999999"/>
    <n v="0.18"/>
    <n v="17.09"/>
  </r>
  <r>
    <x v="4"/>
    <x v="2"/>
    <n v="16979.3"/>
    <n v="82565.8"/>
    <n v="9429.7999999999993"/>
    <n v="61934.9"/>
    <n v="0.21"/>
    <n v="15.23"/>
  </r>
  <r>
    <x v="4"/>
    <x v="3"/>
    <n v="10383.6"/>
    <n v="107275.6"/>
    <n v="11521.9"/>
    <n v="79312"/>
    <n v="0.1"/>
    <n v="14.53"/>
  </r>
  <r>
    <x v="4"/>
    <x v="4"/>
    <n v="9188"/>
    <n v="116923.7"/>
    <n v="12635"/>
    <n v="90487.6"/>
    <n v="0.08"/>
    <n v="13.96"/>
  </r>
  <r>
    <x v="4"/>
    <x v="5"/>
    <n v="9695.2999999999993"/>
    <n v="115064.2"/>
    <n v="11547.7"/>
    <n v="89760.3"/>
    <n v="0.08"/>
    <n v="12.87"/>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A91B943-D8BF-41D6-A426-1D3389FB497A}" name="PivotTable4"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A33:G41" firstHeaderRow="1" firstDataRow="2" firstDataCol="1"/>
  <pivotFields count="7">
    <pivotField axis="axisCol" showAll="0" sortType="descending">
      <items count="6">
        <item x="0"/>
        <item x="1"/>
        <item x="2"/>
        <item x="3"/>
        <item x="4"/>
        <item t="default"/>
      </items>
      <autoSortScope>
        <pivotArea dataOnly="0" outline="0" fieldPosition="0">
          <references count="1">
            <reference field="4294967294" count="1" selected="0">
              <x v="0"/>
            </reference>
          </references>
        </pivotArea>
      </autoSortScope>
    </pivotField>
    <pivotField axis="axisRow" showAll="0">
      <items count="7">
        <item x="0"/>
        <item x="1"/>
        <item x="2"/>
        <item x="3"/>
        <item x="4"/>
        <item x="5"/>
        <item t="default"/>
      </items>
    </pivotField>
    <pivotField showAll="0"/>
    <pivotField showAll="0"/>
    <pivotField dataField="1" numFmtId="2" showAll="0"/>
    <pivotField showAll="0"/>
    <pivotField showAll="0"/>
  </pivotFields>
  <rowFields count="1">
    <field x="1"/>
  </rowFields>
  <rowItems count="7">
    <i>
      <x/>
    </i>
    <i>
      <x v="1"/>
    </i>
    <i>
      <x v="2"/>
    </i>
    <i>
      <x v="3"/>
    </i>
    <i>
      <x v="4"/>
    </i>
    <i>
      <x v="5"/>
    </i>
    <i t="grand">
      <x/>
    </i>
  </rowItems>
  <colFields count="1">
    <field x="0"/>
  </colFields>
  <colItems count="6">
    <i>
      <x v="2"/>
    </i>
    <i>
      <x v="1"/>
    </i>
    <i>
      <x/>
    </i>
    <i>
      <x v="4"/>
    </i>
    <i>
      <x v="3"/>
    </i>
    <i t="grand">
      <x/>
    </i>
  </colItems>
  <dataFields count="1">
    <dataField name="Sum of Operating Profit (Rs. Cr)" fld="4" baseField="0" baseItem="0" numFmtId="2"/>
  </dataFields>
  <formats count="1">
    <format dxfId="28">
      <pivotArea grandRow="1" outline="0" collapsedLevelsAreSubtotals="1" fieldPosition="0"/>
    </format>
  </formats>
  <chartFormats count="10">
    <chartFormat chart="7" format="0" series="1">
      <pivotArea type="data" outline="0" fieldPosition="0">
        <references count="2">
          <reference field="4294967294" count="1" selected="0">
            <x v="0"/>
          </reference>
          <reference field="0" count="1" selected="0">
            <x v="0"/>
          </reference>
        </references>
      </pivotArea>
    </chartFormat>
    <chartFormat chart="7" format="1" series="1">
      <pivotArea type="data" outline="0" fieldPosition="0">
        <references count="2">
          <reference field="4294967294" count="1" selected="0">
            <x v="0"/>
          </reference>
          <reference field="0" count="1" selected="0">
            <x v="1"/>
          </reference>
        </references>
      </pivotArea>
    </chartFormat>
    <chartFormat chart="7" format="2" series="1">
      <pivotArea type="data" outline="0" fieldPosition="0">
        <references count="2">
          <reference field="4294967294" count="1" selected="0">
            <x v="0"/>
          </reference>
          <reference field="0" count="1" selected="0">
            <x v="2"/>
          </reference>
        </references>
      </pivotArea>
    </chartFormat>
    <chartFormat chart="7" format="3" series="1">
      <pivotArea type="data" outline="0" fieldPosition="0">
        <references count="2">
          <reference field="4294967294" count="1" selected="0">
            <x v="0"/>
          </reference>
          <reference field="0" count="1" selected="0">
            <x v="3"/>
          </reference>
        </references>
      </pivotArea>
    </chartFormat>
    <chartFormat chart="7" format="4" series="1">
      <pivotArea type="data" outline="0" fieldPosition="0">
        <references count="2">
          <reference field="4294967294" count="1" selected="0">
            <x v="0"/>
          </reference>
          <reference field="0" count="1" selected="0">
            <x v="4"/>
          </reference>
        </references>
      </pivotArea>
    </chartFormat>
    <chartFormat chart="13" format="10" series="1">
      <pivotArea type="data" outline="0" fieldPosition="0">
        <references count="2">
          <reference field="4294967294" count="1" selected="0">
            <x v="0"/>
          </reference>
          <reference field="0" count="1" selected="0">
            <x v="2"/>
          </reference>
        </references>
      </pivotArea>
    </chartFormat>
    <chartFormat chart="13" format="11" series="1">
      <pivotArea type="data" outline="0" fieldPosition="0">
        <references count="2">
          <reference field="4294967294" count="1" selected="0">
            <x v="0"/>
          </reference>
          <reference field="0" count="1" selected="0">
            <x v="1"/>
          </reference>
        </references>
      </pivotArea>
    </chartFormat>
    <chartFormat chart="13" format="12" series="1">
      <pivotArea type="data" outline="0" fieldPosition="0">
        <references count="2">
          <reference field="4294967294" count="1" selected="0">
            <x v="0"/>
          </reference>
          <reference field="0" count="1" selected="0">
            <x v="0"/>
          </reference>
        </references>
      </pivotArea>
    </chartFormat>
    <chartFormat chart="13" format="13" series="1">
      <pivotArea type="data" outline="0" fieldPosition="0">
        <references count="2">
          <reference field="4294967294" count="1" selected="0">
            <x v="0"/>
          </reference>
          <reference field="0" count="1" selected="0">
            <x v="4"/>
          </reference>
        </references>
      </pivotArea>
    </chartFormat>
    <chartFormat chart="13" format="14" series="1">
      <pivotArea type="data" outline="0" fieldPosition="0">
        <references count="2">
          <reference field="4294967294" count="1" selected="0">
            <x v="0"/>
          </reference>
          <reference field="0"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8FE2D4D-5062-4A32-949A-1DD92CEF7D3A}" name="PivotTable3"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3:G11" firstHeaderRow="1" firstDataRow="2" firstDataCol="1"/>
  <pivotFields count="7">
    <pivotField axis="axisCol" showAll="0" sortType="descending">
      <items count="6">
        <item x="0"/>
        <item x="1"/>
        <item x="2"/>
        <item x="3"/>
        <item x="4"/>
        <item t="default"/>
      </items>
      <autoSortScope>
        <pivotArea dataOnly="0" outline="0" fieldPosition="0">
          <references count="1">
            <reference field="4294967294" count="1" selected="0">
              <x v="0"/>
            </reference>
          </references>
        </pivotArea>
      </autoSortScope>
    </pivotField>
    <pivotField axis="axisRow" showAll="0">
      <items count="7">
        <item x="0"/>
        <item x="1"/>
        <item x="2"/>
        <item x="3"/>
        <item x="4"/>
        <item x="5"/>
        <item t="default"/>
      </items>
    </pivotField>
    <pivotField showAll="0"/>
    <pivotField showAll="0"/>
    <pivotField numFmtId="2" showAll="0"/>
    <pivotField dataField="1" showAll="0"/>
    <pivotField showAll="0"/>
  </pivotFields>
  <rowFields count="1">
    <field x="1"/>
  </rowFields>
  <rowItems count="7">
    <i>
      <x/>
    </i>
    <i>
      <x v="1"/>
    </i>
    <i>
      <x v="2"/>
    </i>
    <i>
      <x v="3"/>
    </i>
    <i>
      <x v="4"/>
    </i>
    <i>
      <x v="5"/>
    </i>
    <i t="grand">
      <x/>
    </i>
  </rowItems>
  <colFields count="1">
    <field x="0"/>
  </colFields>
  <colItems count="6">
    <i>
      <x v="2"/>
    </i>
    <i>
      <x v="1"/>
    </i>
    <i>
      <x/>
    </i>
    <i>
      <x v="4"/>
    </i>
    <i>
      <x v="3"/>
    </i>
    <i t="grand">
      <x/>
    </i>
  </colItems>
  <dataFields count="1">
    <dataField name="Average of Net Profit Margin (%)" fld="5" subtotal="average" baseField="1" baseItem="0"/>
  </dataFields>
  <formats count="1">
    <format dxfId="29">
      <pivotArea grandRow="1" outline="0" collapsedLevelsAreSubtotals="1" fieldPosition="0"/>
    </format>
  </formats>
  <chartFormats count="10">
    <chartFormat chart="0" format="0" series="1">
      <pivotArea type="data" outline="0" fieldPosition="0">
        <references count="2">
          <reference field="4294967294" count="1" selected="0">
            <x v="0"/>
          </reference>
          <reference field="0" count="1" selected="0">
            <x v="0"/>
          </reference>
        </references>
      </pivotArea>
    </chartFormat>
    <chartFormat chart="0" format="1" series="1">
      <pivotArea type="data" outline="0" fieldPosition="0">
        <references count="2">
          <reference field="4294967294" count="1" selected="0">
            <x v="0"/>
          </reference>
          <reference field="0" count="1" selected="0">
            <x v="1"/>
          </reference>
        </references>
      </pivotArea>
    </chartFormat>
    <chartFormat chart="0" format="2" series="1">
      <pivotArea type="data" outline="0" fieldPosition="0">
        <references count="2">
          <reference field="4294967294" count="1" selected="0">
            <x v="0"/>
          </reference>
          <reference field="0" count="1" selected="0">
            <x v="2"/>
          </reference>
        </references>
      </pivotArea>
    </chartFormat>
    <chartFormat chart="0" format="3" series="1">
      <pivotArea type="data" outline="0" fieldPosition="0">
        <references count="2">
          <reference field="4294967294" count="1" selected="0">
            <x v="0"/>
          </reference>
          <reference field="0" count="1" selected="0">
            <x v="3"/>
          </reference>
        </references>
      </pivotArea>
    </chartFormat>
    <chartFormat chart="0" format="4" series="1">
      <pivotArea type="data" outline="0" fieldPosition="0">
        <references count="2">
          <reference field="4294967294" count="1" selected="0">
            <x v="0"/>
          </reference>
          <reference field="0" count="1" selected="0">
            <x v="4"/>
          </reference>
        </references>
      </pivotArea>
    </chartFormat>
    <chartFormat chart="8" format="10" series="1">
      <pivotArea type="data" outline="0" fieldPosition="0">
        <references count="2">
          <reference field="4294967294" count="1" selected="0">
            <x v="0"/>
          </reference>
          <reference field="0" count="1" selected="0">
            <x v="2"/>
          </reference>
        </references>
      </pivotArea>
    </chartFormat>
    <chartFormat chart="8" format="11" series="1">
      <pivotArea type="data" outline="0" fieldPosition="0">
        <references count="2">
          <reference field="4294967294" count="1" selected="0">
            <x v="0"/>
          </reference>
          <reference field="0" count="1" selected="0">
            <x v="1"/>
          </reference>
        </references>
      </pivotArea>
    </chartFormat>
    <chartFormat chart="8" format="12" series="1">
      <pivotArea type="data" outline="0" fieldPosition="0">
        <references count="2">
          <reference field="4294967294" count="1" selected="0">
            <x v="0"/>
          </reference>
          <reference field="0" count="1" selected="0">
            <x v="0"/>
          </reference>
        </references>
      </pivotArea>
    </chartFormat>
    <chartFormat chart="8" format="13" series="1">
      <pivotArea type="data" outline="0" fieldPosition="0">
        <references count="2">
          <reference field="4294967294" count="1" selected="0">
            <x v="0"/>
          </reference>
          <reference field="0" count="1" selected="0">
            <x v="4"/>
          </reference>
        </references>
      </pivotArea>
    </chartFormat>
    <chartFormat chart="8" format="14" series="1">
      <pivotArea type="data" outline="0" fieldPosition="0">
        <references count="2">
          <reference field="4294967294" count="1" selected="0">
            <x v="0"/>
          </reference>
          <reference field="0"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CA15383-805A-4B6D-9001-E7F6E1DF3279}" name="PivotTable2"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A33:G41" firstHeaderRow="1" firstDataRow="2" firstDataCol="1"/>
  <pivotFields count="10">
    <pivotField axis="axisCol" showAll="0" sortType="descending">
      <items count="6">
        <item x="0"/>
        <item x="1"/>
        <item x="2"/>
        <item x="3"/>
        <item x="4"/>
        <item t="default"/>
      </items>
      <autoSortScope>
        <pivotArea dataOnly="0" outline="0" fieldPosition="0">
          <references count="1">
            <reference field="4294967294" count="1" selected="0">
              <x v="0"/>
            </reference>
          </references>
        </pivotArea>
      </autoSortScope>
    </pivotField>
    <pivotField axis="axisRow" showAll="0">
      <items count="7">
        <item x="0"/>
        <item x="1"/>
        <item x="2"/>
        <item x="3"/>
        <item x="4"/>
        <item x="5"/>
        <item t="default"/>
      </items>
    </pivotField>
    <pivotField numFmtId="2" showAll="0"/>
    <pivotField numFmtId="2" showAll="0"/>
    <pivotField numFmtId="2" showAll="0"/>
    <pivotField numFmtId="2" showAll="0"/>
    <pivotField dataField="1" showAll="0"/>
    <pivotField showAll="0"/>
    <pivotField showAll="0"/>
    <pivotField showAll="0"/>
  </pivotFields>
  <rowFields count="1">
    <field x="1"/>
  </rowFields>
  <rowItems count="7">
    <i>
      <x/>
    </i>
    <i>
      <x v="1"/>
    </i>
    <i>
      <x v="2"/>
    </i>
    <i>
      <x v="3"/>
    </i>
    <i>
      <x v="4"/>
    </i>
    <i>
      <x v="5"/>
    </i>
    <i t="grand">
      <x/>
    </i>
  </rowItems>
  <colFields count="1">
    <field x="0"/>
  </colFields>
  <colItems count="6">
    <i>
      <x v="4"/>
    </i>
    <i>
      <x v="3"/>
    </i>
    <i>
      <x/>
    </i>
    <i>
      <x v="1"/>
    </i>
    <i>
      <x v="2"/>
    </i>
    <i t="grand">
      <x/>
    </i>
  </colItems>
  <dataFields count="1">
    <dataField name="Sum of Debt-to-Equity" fld="6" baseField="0" baseItem="0"/>
  </dataFields>
  <chartFormats count="10">
    <chartFormat chart="6" format="0" series="1">
      <pivotArea type="data" outline="0" fieldPosition="0">
        <references count="2">
          <reference field="4294967294" count="1" selected="0">
            <x v="0"/>
          </reference>
          <reference field="0" count="1" selected="0">
            <x v="0"/>
          </reference>
        </references>
      </pivotArea>
    </chartFormat>
    <chartFormat chart="6" format="1" series="1">
      <pivotArea type="data" outline="0" fieldPosition="0">
        <references count="2">
          <reference field="4294967294" count="1" selected="0">
            <x v="0"/>
          </reference>
          <reference field="0" count="1" selected="0">
            <x v="1"/>
          </reference>
        </references>
      </pivotArea>
    </chartFormat>
    <chartFormat chart="6" format="2" series="1">
      <pivotArea type="data" outline="0" fieldPosition="0">
        <references count="2">
          <reference field="4294967294" count="1" selected="0">
            <x v="0"/>
          </reference>
          <reference field="0" count="1" selected="0">
            <x v="2"/>
          </reference>
        </references>
      </pivotArea>
    </chartFormat>
    <chartFormat chart="6" format="3" series="1">
      <pivotArea type="data" outline="0" fieldPosition="0">
        <references count="2">
          <reference field="4294967294" count="1" selected="0">
            <x v="0"/>
          </reference>
          <reference field="0" count="1" selected="0">
            <x v="3"/>
          </reference>
        </references>
      </pivotArea>
    </chartFormat>
    <chartFormat chart="6" format="4" series="1">
      <pivotArea type="data" outline="0" fieldPosition="0">
        <references count="2">
          <reference field="4294967294" count="1" selected="0">
            <x v="0"/>
          </reference>
          <reference field="0" count="1" selected="0">
            <x v="4"/>
          </reference>
        </references>
      </pivotArea>
    </chartFormat>
    <chartFormat chart="12" format="10" series="1">
      <pivotArea type="data" outline="0" fieldPosition="0">
        <references count="2">
          <reference field="4294967294" count="1" selected="0">
            <x v="0"/>
          </reference>
          <reference field="0" count="1" selected="0">
            <x v="4"/>
          </reference>
        </references>
      </pivotArea>
    </chartFormat>
    <chartFormat chart="12" format="11" series="1">
      <pivotArea type="data" outline="0" fieldPosition="0">
        <references count="2">
          <reference field="4294967294" count="1" selected="0">
            <x v="0"/>
          </reference>
          <reference field="0" count="1" selected="0">
            <x v="3"/>
          </reference>
        </references>
      </pivotArea>
    </chartFormat>
    <chartFormat chart="12" format="12" series="1">
      <pivotArea type="data" outline="0" fieldPosition="0">
        <references count="2">
          <reference field="4294967294" count="1" selected="0">
            <x v="0"/>
          </reference>
          <reference field="0" count="1" selected="0">
            <x v="0"/>
          </reference>
        </references>
      </pivotArea>
    </chartFormat>
    <chartFormat chart="12" format="13" series="1">
      <pivotArea type="data" outline="0" fieldPosition="0">
        <references count="2">
          <reference field="4294967294" count="1" selected="0">
            <x v="0"/>
          </reference>
          <reference field="0" count="1" selected="0">
            <x v="1"/>
          </reference>
        </references>
      </pivotArea>
    </chartFormat>
    <chartFormat chart="12" format="14" series="1">
      <pivotArea type="data" outline="0" fieldPosition="0">
        <references count="2">
          <reference field="4294967294" count="1" selected="0">
            <x v="0"/>
          </reference>
          <reference field="0"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AC34133-9892-44D2-9570-AC441E284642}" name="PivotTable1"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3:G11" firstHeaderRow="1" firstDataRow="2" firstDataCol="1"/>
  <pivotFields count="10">
    <pivotField axis="axisCol" showAll="0" sortType="descending">
      <items count="6">
        <item x="0"/>
        <item x="1"/>
        <item x="2"/>
        <item x="3"/>
        <item x="4"/>
        <item t="default"/>
      </items>
      <autoSortScope>
        <pivotArea dataOnly="0" outline="0" fieldPosition="0">
          <references count="1">
            <reference field="4294967294" count="1" selected="0">
              <x v="0"/>
            </reference>
          </references>
        </pivotArea>
      </autoSortScope>
    </pivotField>
    <pivotField axis="axisRow" showAll="0">
      <items count="7">
        <item x="0"/>
        <item x="1"/>
        <item x="2"/>
        <item x="3"/>
        <item x="4"/>
        <item x="5"/>
        <item t="default"/>
      </items>
    </pivotField>
    <pivotField numFmtId="2" showAll="0"/>
    <pivotField numFmtId="2" showAll="0"/>
    <pivotField numFmtId="2" showAll="0"/>
    <pivotField numFmtId="2" showAll="0"/>
    <pivotField showAll="0"/>
    <pivotField dataField="1" showAll="0"/>
    <pivotField showAll="0"/>
    <pivotField showAll="0"/>
  </pivotFields>
  <rowFields count="1">
    <field x="1"/>
  </rowFields>
  <rowItems count="7">
    <i>
      <x/>
    </i>
    <i>
      <x v="1"/>
    </i>
    <i>
      <x v="2"/>
    </i>
    <i>
      <x v="3"/>
    </i>
    <i>
      <x v="4"/>
    </i>
    <i>
      <x v="5"/>
    </i>
    <i t="grand">
      <x/>
    </i>
  </rowItems>
  <colFields count="1">
    <field x="0"/>
  </colFields>
  <colItems count="6">
    <i>
      <x v="2"/>
    </i>
    <i>
      <x v="1"/>
    </i>
    <i>
      <x/>
    </i>
    <i>
      <x v="3"/>
    </i>
    <i>
      <x v="4"/>
    </i>
    <i t="grand">
      <x/>
    </i>
  </colItems>
  <dataFields count="1">
    <dataField name="Average of ROE %" fld="7" subtotal="average" baseField="1" baseItem="0"/>
  </dataFields>
  <chartFormats count="10">
    <chartFormat chart="0" format="0" series="1">
      <pivotArea type="data" outline="0" fieldPosition="0">
        <references count="2">
          <reference field="4294967294" count="1" selected="0">
            <x v="0"/>
          </reference>
          <reference field="0" count="1" selected="0">
            <x v="0"/>
          </reference>
        </references>
      </pivotArea>
    </chartFormat>
    <chartFormat chart="0" format="1" series="1">
      <pivotArea type="data" outline="0" fieldPosition="0">
        <references count="2">
          <reference field="4294967294" count="1" selected="0">
            <x v="0"/>
          </reference>
          <reference field="0" count="1" selected="0">
            <x v="1"/>
          </reference>
        </references>
      </pivotArea>
    </chartFormat>
    <chartFormat chart="0" format="2" series="1">
      <pivotArea type="data" outline="0" fieldPosition="0">
        <references count="2">
          <reference field="4294967294" count="1" selected="0">
            <x v="0"/>
          </reference>
          <reference field="0" count="1" selected="0">
            <x v="2"/>
          </reference>
        </references>
      </pivotArea>
    </chartFormat>
    <chartFormat chart="0" format="3" series="1">
      <pivotArea type="data" outline="0" fieldPosition="0">
        <references count="2">
          <reference field="4294967294" count="1" selected="0">
            <x v="0"/>
          </reference>
          <reference field="0" count="1" selected="0">
            <x v="3"/>
          </reference>
        </references>
      </pivotArea>
    </chartFormat>
    <chartFormat chart="0" format="4" series="1">
      <pivotArea type="data" outline="0" fieldPosition="0">
        <references count="2">
          <reference field="4294967294" count="1" selected="0">
            <x v="0"/>
          </reference>
          <reference field="0" count="1" selected="0">
            <x v="4"/>
          </reference>
        </references>
      </pivotArea>
    </chartFormat>
    <chartFormat chart="7" format="10" series="1">
      <pivotArea type="data" outline="0" fieldPosition="0">
        <references count="2">
          <reference field="4294967294" count="1" selected="0">
            <x v="0"/>
          </reference>
          <reference field="0" count="1" selected="0">
            <x v="2"/>
          </reference>
        </references>
      </pivotArea>
    </chartFormat>
    <chartFormat chart="7" format="11" series="1">
      <pivotArea type="data" outline="0" fieldPosition="0">
        <references count="2">
          <reference field="4294967294" count="1" selected="0">
            <x v="0"/>
          </reference>
          <reference field="0" count="1" selected="0">
            <x v="1"/>
          </reference>
        </references>
      </pivotArea>
    </chartFormat>
    <chartFormat chart="7" format="12" series="1">
      <pivotArea type="data" outline="0" fieldPosition="0">
        <references count="2">
          <reference field="4294967294" count="1" selected="0">
            <x v="0"/>
          </reference>
          <reference field="0" count="1" selected="0">
            <x v="0"/>
          </reference>
        </references>
      </pivotArea>
    </chartFormat>
    <chartFormat chart="7" format="13" series="1">
      <pivotArea type="data" outline="0" fieldPosition="0">
        <references count="2">
          <reference field="4294967294" count="1" selected="0">
            <x v="0"/>
          </reference>
          <reference field="0" count="1" selected="0">
            <x v="3"/>
          </reference>
        </references>
      </pivotArea>
    </chartFormat>
    <chartFormat chart="7" format="14" series="1">
      <pivotArea type="data" outline="0" fieldPosition="0">
        <references count="2">
          <reference field="4294967294" count="1" selected="0">
            <x v="0"/>
          </reference>
          <reference field="0"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ACA41AB6-6315-4AE6-8530-1EA282320C7F}"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32:G40" firstHeaderRow="1" firstDataRow="2" firstDataCol="1"/>
  <pivotFields count="10">
    <pivotField axis="axisCol" showAll="0">
      <items count="6">
        <item x="0"/>
        <item x="1"/>
        <item x="2"/>
        <item x="3"/>
        <item x="4"/>
        <item t="default"/>
      </items>
    </pivotField>
    <pivotField axis="axisRow" showAll="0">
      <items count="7">
        <item x="0"/>
        <item x="1"/>
        <item x="2"/>
        <item x="3"/>
        <item x="4"/>
        <item x="5"/>
        <item t="default"/>
      </items>
    </pivotField>
    <pivotField numFmtId="2" showAll="0"/>
    <pivotField showAll="0"/>
    <pivotField numFmtId="2" showAll="0"/>
    <pivotField numFmtId="2" showAll="0"/>
    <pivotField showAll="0"/>
    <pivotField showAll="0">
      <items count="27">
        <item x="20"/>
        <item x="19"/>
        <item x="24"/>
        <item x="16"/>
        <item x="25"/>
        <item x="12"/>
        <item x="2"/>
        <item x="11"/>
        <item x="5"/>
        <item x="6"/>
        <item x="21"/>
        <item x="10"/>
        <item x="15"/>
        <item x="9"/>
        <item x="1"/>
        <item x="17"/>
        <item x="14"/>
        <item x="4"/>
        <item x="22"/>
        <item x="23"/>
        <item x="8"/>
        <item x="7"/>
        <item x="13"/>
        <item x="3"/>
        <item x="18"/>
        <item x="0"/>
        <item t="default"/>
      </items>
    </pivotField>
    <pivotField showAll="0">
      <items count="27">
        <item x="20"/>
        <item x="25"/>
        <item x="22"/>
        <item x="17"/>
        <item x="21"/>
        <item x="12"/>
        <item x="10"/>
        <item x="16"/>
        <item x="2"/>
        <item x="15"/>
        <item x="11"/>
        <item x="5"/>
        <item x="6"/>
        <item x="7"/>
        <item x="3"/>
        <item x="24"/>
        <item x="13"/>
        <item x="1"/>
        <item x="14"/>
        <item x="18"/>
        <item x="4"/>
        <item x="19"/>
        <item x="9"/>
        <item x="8"/>
        <item x="23"/>
        <item x="0"/>
        <item t="default"/>
      </items>
    </pivotField>
    <pivotField dataField="1" showAll="0"/>
  </pivotFields>
  <rowFields count="1">
    <field x="1"/>
  </rowFields>
  <rowItems count="7">
    <i>
      <x/>
    </i>
    <i>
      <x v="1"/>
    </i>
    <i>
      <x v="2"/>
    </i>
    <i>
      <x v="3"/>
    </i>
    <i>
      <x v="4"/>
    </i>
    <i>
      <x v="5"/>
    </i>
    <i t="grand">
      <x/>
    </i>
  </rowItems>
  <colFields count="1">
    <field x="0"/>
  </colFields>
  <colItems count="6">
    <i>
      <x/>
    </i>
    <i>
      <x v="1"/>
    </i>
    <i>
      <x v="2"/>
    </i>
    <i>
      <x v="3"/>
    </i>
    <i>
      <x v="4"/>
    </i>
    <i t="grand">
      <x/>
    </i>
  </colItems>
  <dataFields count="1">
    <dataField name="Average of Operating Profit Growth (%)" fld="9" subtotal="average" baseField="1" baseItem="0"/>
  </dataFields>
  <chartFormats count="10">
    <chartFormat chart="4" format="0" series="1">
      <pivotArea type="data" outline="0" fieldPosition="0">
        <references count="2">
          <reference field="4294967294" count="1" selected="0">
            <x v="0"/>
          </reference>
          <reference field="0" count="1" selected="0">
            <x v="0"/>
          </reference>
        </references>
      </pivotArea>
    </chartFormat>
    <chartFormat chart="4" format="1" series="1">
      <pivotArea type="data" outline="0" fieldPosition="0">
        <references count="2">
          <reference field="4294967294" count="1" selected="0">
            <x v="0"/>
          </reference>
          <reference field="0" count="1" selected="0">
            <x v="1"/>
          </reference>
        </references>
      </pivotArea>
    </chartFormat>
    <chartFormat chart="4" format="2" series="1">
      <pivotArea type="data" outline="0" fieldPosition="0">
        <references count="2">
          <reference field="4294967294" count="1" selected="0">
            <x v="0"/>
          </reference>
          <reference field="0" count="1" selected="0">
            <x v="2"/>
          </reference>
        </references>
      </pivotArea>
    </chartFormat>
    <chartFormat chart="4" format="3" series="1">
      <pivotArea type="data" outline="0" fieldPosition="0">
        <references count="2">
          <reference field="4294967294" count="1" selected="0">
            <x v="0"/>
          </reference>
          <reference field="0" count="1" selected="0">
            <x v="3"/>
          </reference>
        </references>
      </pivotArea>
    </chartFormat>
    <chartFormat chart="4" format="4" series="1">
      <pivotArea type="data" outline="0" fieldPosition="0">
        <references count="2">
          <reference field="4294967294" count="1" selected="0">
            <x v="0"/>
          </reference>
          <reference field="0" count="1" selected="0">
            <x v="4"/>
          </reference>
        </references>
      </pivotArea>
    </chartFormat>
    <chartFormat chart="7" format="10" series="1">
      <pivotArea type="data" outline="0" fieldPosition="0">
        <references count="2">
          <reference field="4294967294" count="1" selected="0">
            <x v="0"/>
          </reference>
          <reference field="0" count="1" selected="0">
            <x v="0"/>
          </reference>
        </references>
      </pivotArea>
    </chartFormat>
    <chartFormat chart="7" format="11" series="1">
      <pivotArea type="data" outline="0" fieldPosition="0">
        <references count="2">
          <reference field="4294967294" count="1" selected="0">
            <x v="0"/>
          </reference>
          <reference field="0" count="1" selected="0">
            <x v="1"/>
          </reference>
        </references>
      </pivotArea>
    </chartFormat>
    <chartFormat chart="7" format="12" series="1">
      <pivotArea type="data" outline="0" fieldPosition="0">
        <references count="2">
          <reference field="4294967294" count="1" selected="0">
            <x v="0"/>
          </reference>
          <reference field="0" count="1" selected="0">
            <x v="2"/>
          </reference>
        </references>
      </pivotArea>
    </chartFormat>
    <chartFormat chart="7" format="13" series="1">
      <pivotArea type="data" outline="0" fieldPosition="0">
        <references count="2">
          <reference field="4294967294" count="1" selected="0">
            <x v="0"/>
          </reference>
          <reference field="0" count="1" selected="0">
            <x v="3"/>
          </reference>
        </references>
      </pivotArea>
    </chartFormat>
    <chartFormat chart="7" format="14" series="1">
      <pivotArea type="data" outline="0" fieldPosition="0">
        <references count="2">
          <reference field="4294967294" count="1" selected="0">
            <x v="0"/>
          </reference>
          <reference field="0"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9E65C20C-9FC9-41C2-AE01-A8B3095AB91D}"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3:G11" firstHeaderRow="1" firstDataRow="2" firstDataCol="1"/>
  <pivotFields count="10">
    <pivotField axis="axisCol" showAll="0">
      <items count="6">
        <item x="0"/>
        <item x="1"/>
        <item x="2"/>
        <item x="3"/>
        <item x="4"/>
        <item t="default"/>
      </items>
    </pivotField>
    <pivotField axis="axisRow" showAll="0">
      <items count="7">
        <item x="0"/>
        <item x="1"/>
        <item x="2"/>
        <item x="3"/>
        <item x="4"/>
        <item x="5"/>
        <item t="default"/>
      </items>
    </pivotField>
    <pivotField numFmtId="2" showAll="0"/>
    <pivotField showAll="0"/>
    <pivotField numFmtId="2" showAll="0"/>
    <pivotField numFmtId="2" showAll="0"/>
    <pivotField showAll="0"/>
    <pivotField showAll="0">
      <items count="27">
        <item x="20"/>
        <item x="19"/>
        <item x="24"/>
        <item x="16"/>
        <item x="25"/>
        <item x="12"/>
        <item x="2"/>
        <item x="11"/>
        <item x="5"/>
        <item x="6"/>
        <item x="21"/>
        <item x="10"/>
        <item x="15"/>
        <item x="9"/>
        <item x="1"/>
        <item x="17"/>
        <item x="14"/>
        <item x="4"/>
        <item x="22"/>
        <item x="23"/>
        <item x="8"/>
        <item x="7"/>
        <item x="13"/>
        <item x="3"/>
        <item x="18"/>
        <item x="0"/>
        <item t="default"/>
      </items>
    </pivotField>
    <pivotField dataField="1" showAll="0">
      <items count="27">
        <item x="20"/>
        <item x="25"/>
        <item x="22"/>
        <item x="17"/>
        <item x="21"/>
        <item x="12"/>
        <item x="10"/>
        <item x="16"/>
        <item x="2"/>
        <item x="15"/>
        <item x="11"/>
        <item x="5"/>
        <item x="6"/>
        <item x="7"/>
        <item x="3"/>
        <item x="24"/>
        <item x="13"/>
        <item x="1"/>
        <item x="14"/>
        <item x="18"/>
        <item x="4"/>
        <item x="19"/>
        <item x="9"/>
        <item x="8"/>
        <item x="23"/>
        <item x="0"/>
        <item t="default"/>
      </items>
    </pivotField>
    <pivotField showAll="0"/>
  </pivotFields>
  <rowFields count="1">
    <field x="1"/>
  </rowFields>
  <rowItems count="7">
    <i>
      <x/>
    </i>
    <i>
      <x v="1"/>
    </i>
    <i>
      <x v="2"/>
    </i>
    <i>
      <x v="3"/>
    </i>
    <i>
      <x v="4"/>
    </i>
    <i>
      <x v="5"/>
    </i>
    <i t="grand">
      <x/>
    </i>
  </rowItems>
  <colFields count="1">
    <field x="0"/>
  </colFields>
  <colItems count="6">
    <i>
      <x/>
    </i>
    <i>
      <x v="1"/>
    </i>
    <i>
      <x v="2"/>
    </i>
    <i>
      <x v="3"/>
    </i>
    <i>
      <x v="4"/>
    </i>
    <i t="grand">
      <x/>
    </i>
  </colItems>
  <dataFields count="1">
    <dataField name="Average of Revenue Growth (%)" fld="8" subtotal="average" baseField="1" baseItem="0"/>
  </dataFields>
  <chartFormats count="10">
    <chartFormat chart="0" format="0" series="1">
      <pivotArea type="data" outline="0" fieldPosition="0">
        <references count="2">
          <reference field="4294967294" count="1" selected="0">
            <x v="0"/>
          </reference>
          <reference field="0" count="1" selected="0">
            <x v="0"/>
          </reference>
        </references>
      </pivotArea>
    </chartFormat>
    <chartFormat chart="0" format="1" series="1">
      <pivotArea type="data" outline="0" fieldPosition="0">
        <references count="2">
          <reference field="4294967294" count="1" selected="0">
            <x v="0"/>
          </reference>
          <reference field="0" count="1" selected="0">
            <x v="1"/>
          </reference>
        </references>
      </pivotArea>
    </chartFormat>
    <chartFormat chart="0" format="2" series="1">
      <pivotArea type="data" outline="0" fieldPosition="0">
        <references count="2">
          <reference field="4294967294" count="1" selected="0">
            <x v="0"/>
          </reference>
          <reference field="0" count="1" selected="0">
            <x v="2"/>
          </reference>
        </references>
      </pivotArea>
    </chartFormat>
    <chartFormat chart="0" format="3" series="1">
      <pivotArea type="data" outline="0" fieldPosition="0">
        <references count="2">
          <reference field="4294967294" count="1" selected="0">
            <x v="0"/>
          </reference>
          <reference field="0" count="1" selected="0">
            <x v="3"/>
          </reference>
        </references>
      </pivotArea>
    </chartFormat>
    <chartFormat chart="0" format="4" series="1">
      <pivotArea type="data" outline="0" fieldPosition="0">
        <references count="2">
          <reference field="4294967294" count="1" selected="0">
            <x v="0"/>
          </reference>
          <reference field="0" count="1" selected="0">
            <x v="4"/>
          </reference>
        </references>
      </pivotArea>
    </chartFormat>
    <chartFormat chart="5" format="10" series="1">
      <pivotArea type="data" outline="0" fieldPosition="0">
        <references count="2">
          <reference field="4294967294" count="1" selected="0">
            <x v="0"/>
          </reference>
          <reference field="0" count="1" selected="0">
            <x v="0"/>
          </reference>
        </references>
      </pivotArea>
    </chartFormat>
    <chartFormat chart="5" format="11" series="1">
      <pivotArea type="data" outline="0" fieldPosition="0">
        <references count="2">
          <reference field="4294967294" count="1" selected="0">
            <x v="0"/>
          </reference>
          <reference field="0" count="1" selected="0">
            <x v="1"/>
          </reference>
        </references>
      </pivotArea>
    </chartFormat>
    <chartFormat chart="5" format="12" series="1">
      <pivotArea type="data" outline="0" fieldPosition="0">
        <references count="2">
          <reference field="4294967294" count="1" selected="0">
            <x v="0"/>
          </reference>
          <reference field="0" count="1" selected="0">
            <x v="2"/>
          </reference>
        </references>
      </pivotArea>
    </chartFormat>
    <chartFormat chart="5" format="13" series="1">
      <pivotArea type="data" outline="0" fieldPosition="0">
        <references count="2">
          <reference field="4294967294" count="1" selected="0">
            <x v="0"/>
          </reference>
          <reference field="0" count="1" selected="0">
            <x v="3"/>
          </reference>
        </references>
      </pivotArea>
    </chartFormat>
    <chartFormat chart="5" format="14" series="1">
      <pivotArea type="data" outline="0" fieldPosition="0">
        <references count="2">
          <reference field="4294967294" count="1" selected="0">
            <x v="0"/>
          </reference>
          <reference field="0"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62DE2A5C-7E4D-44AB-95D3-8F7E674072C7}" name="PivotTable3" cacheId="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G11" firstHeaderRow="1" firstDataRow="2" firstDataCol="1"/>
  <pivotFields count="4">
    <pivotField axis="axisCol" showAll="0">
      <items count="6">
        <item x="2"/>
        <item x="1"/>
        <item x="0"/>
        <item x="4"/>
        <item x="3"/>
        <item t="default"/>
      </items>
    </pivotField>
    <pivotField axis="axisRow" showAll="0">
      <items count="7">
        <item x="0"/>
        <item x="1"/>
        <item x="2"/>
        <item x="4"/>
        <item x="5"/>
        <item x="3"/>
        <item t="default"/>
      </items>
    </pivotField>
    <pivotField numFmtId="2" showAll="0"/>
    <pivotField dataField="1" showAll="0"/>
  </pivotFields>
  <rowFields count="1">
    <field x="1"/>
  </rowFields>
  <rowItems count="7">
    <i>
      <x/>
    </i>
    <i>
      <x v="1"/>
    </i>
    <i>
      <x v="2"/>
    </i>
    <i>
      <x v="3"/>
    </i>
    <i>
      <x v="4"/>
    </i>
    <i>
      <x v="5"/>
    </i>
    <i t="grand">
      <x/>
    </i>
  </rowItems>
  <colFields count="1">
    <field x="0"/>
  </colFields>
  <colItems count="6">
    <i>
      <x/>
    </i>
    <i>
      <x v="1"/>
    </i>
    <i>
      <x v="2"/>
    </i>
    <i>
      <x v="3"/>
    </i>
    <i>
      <x v="4"/>
    </i>
    <i t="grand">
      <x/>
    </i>
  </colItems>
  <dataFields count="1">
    <dataField name="Average of Revenue Market Share (%)" fld="3" subtotal="average" baseField="1" baseItem="0"/>
  </dataFields>
  <chartFormats count="10">
    <chartFormat chart="0" format="0" series="1">
      <pivotArea type="data" outline="0" fieldPosition="0">
        <references count="2">
          <reference field="4294967294" count="1" selected="0">
            <x v="0"/>
          </reference>
          <reference field="0" count="1" selected="0">
            <x v="0"/>
          </reference>
        </references>
      </pivotArea>
    </chartFormat>
    <chartFormat chart="0" format="1" series="1">
      <pivotArea type="data" outline="0" fieldPosition="0">
        <references count="2">
          <reference field="4294967294" count="1" selected="0">
            <x v="0"/>
          </reference>
          <reference field="0" count="1" selected="0">
            <x v="1"/>
          </reference>
        </references>
      </pivotArea>
    </chartFormat>
    <chartFormat chart="0" format="2" series="1">
      <pivotArea type="data" outline="0" fieldPosition="0">
        <references count="2">
          <reference field="4294967294" count="1" selected="0">
            <x v="0"/>
          </reference>
          <reference field="0" count="1" selected="0">
            <x v="2"/>
          </reference>
        </references>
      </pivotArea>
    </chartFormat>
    <chartFormat chart="0" format="3" series="1">
      <pivotArea type="data" outline="0" fieldPosition="0">
        <references count="2">
          <reference field="4294967294" count="1" selected="0">
            <x v="0"/>
          </reference>
          <reference field="0" count="1" selected="0">
            <x v="3"/>
          </reference>
        </references>
      </pivotArea>
    </chartFormat>
    <chartFormat chart="0" format="4" series="1">
      <pivotArea type="data" outline="0" fieldPosition="0">
        <references count="2">
          <reference field="4294967294" count="1" selected="0">
            <x v="0"/>
          </reference>
          <reference field="0" count="1" selected="0">
            <x v="4"/>
          </reference>
        </references>
      </pivotArea>
    </chartFormat>
    <chartFormat chart="3" format="10" series="1">
      <pivotArea type="data" outline="0" fieldPosition="0">
        <references count="2">
          <reference field="4294967294" count="1" selected="0">
            <x v="0"/>
          </reference>
          <reference field="0" count="1" selected="0">
            <x v="0"/>
          </reference>
        </references>
      </pivotArea>
    </chartFormat>
    <chartFormat chart="3" format="11" series="1">
      <pivotArea type="data" outline="0" fieldPosition="0">
        <references count="2">
          <reference field="4294967294" count="1" selected="0">
            <x v="0"/>
          </reference>
          <reference field="0" count="1" selected="0">
            <x v="1"/>
          </reference>
        </references>
      </pivotArea>
    </chartFormat>
    <chartFormat chart="3" format="12" series="1">
      <pivotArea type="data" outline="0" fieldPosition="0">
        <references count="2">
          <reference field="4294967294" count="1" selected="0">
            <x v="0"/>
          </reference>
          <reference field="0" count="1" selected="0">
            <x v="2"/>
          </reference>
        </references>
      </pivotArea>
    </chartFormat>
    <chartFormat chart="3" format="13" series="1">
      <pivotArea type="data" outline="0" fieldPosition="0">
        <references count="2">
          <reference field="4294967294" count="1" selected="0">
            <x v="0"/>
          </reference>
          <reference field="0" count="1" selected="0">
            <x v="3"/>
          </reference>
        </references>
      </pivotArea>
    </chartFormat>
    <chartFormat chart="3" format="14" series="1">
      <pivotArea type="data" outline="0" fieldPosition="0">
        <references count="2">
          <reference field="4294967294" count="1" selected="0">
            <x v="0"/>
          </reference>
          <reference field="0"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715C6FC7-27CB-4A64-8D6D-5197CC0D0B12}" name="PivotTable4" cacheId="1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G11" firstHeaderRow="1" firstDataRow="2" firstDataCol="1"/>
  <pivotFields count="8">
    <pivotField axis="axisCol" showAll="0">
      <items count="6">
        <item x="0"/>
        <item x="1"/>
        <item x="2"/>
        <item x="3"/>
        <item x="4"/>
        <item t="default"/>
      </items>
    </pivotField>
    <pivotField axis="axisRow" showAll="0">
      <items count="7">
        <item x="0"/>
        <item x="1"/>
        <item x="2"/>
        <item x="3"/>
        <item x="4"/>
        <item x="5"/>
        <item t="default"/>
      </items>
    </pivotField>
    <pivotField numFmtId="2" showAll="0"/>
    <pivotField numFmtId="2" showAll="0"/>
    <pivotField numFmtId="2" showAll="0"/>
    <pivotField numFmtId="2" showAll="0"/>
    <pivotField dataField="1" showAll="0"/>
    <pivotField showAll="0"/>
  </pivotFields>
  <rowFields count="1">
    <field x="1"/>
  </rowFields>
  <rowItems count="7">
    <i>
      <x/>
    </i>
    <i>
      <x v="1"/>
    </i>
    <i>
      <x v="2"/>
    </i>
    <i>
      <x v="3"/>
    </i>
    <i>
      <x v="4"/>
    </i>
    <i>
      <x v="5"/>
    </i>
    <i t="grand">
      <x/>
    </i>
  </rowItems>
  <colFields count="1">
    <field x="0"/>
  </colFields>
  <colItems count="6">
    <i>
      <x/>
    </i>
    <i>
      <x v="1"/>
    </i>
    <i>
      <x v="2"/>
    </i>
    <i>
      <x v="3"/>
    </i>
    <i>
      <x v="4"/>
    </i>
    <i t="grand">
      <x/>
    </i>
  </colItems>
  <dataFields count="1">
    <dataField name="Sum of Cash Ratio" fld="6" baseField="0" baseItem="0"/>
  </dataFields>
  <chartFormats count="10">
    <chartFormat chart="0" format="0" series="1">
      <pivotArea type="data" outline="0" fieldPosition="0">
        <references count="2">
          <reference field="4294967294" count="1" selected="0">
            <x v="0"/>
          </reference>
          <reference field="0" count="1" selected="0">
            <x v="0"/>
          </reference>
        </references>
      </pivotArea>
    </chartFormat>
    <chartFormat chart="0" format="1" series="1">
      <pivotArea type="data" outline="0" fieldPosition="0">
        <references count="2">
          <reference field="4294967294" count="1" selected="0">
            <x v="0"/>
          </reference>
          <reference field="0" count="1" selected="0">
            <x v="1"/>
          </reference>
        </references>
      </pivotArea>
    </chartFormat>
    <chartFormat chart="0" format="2" series="1">
      <pivotArea type="data" outline="0" fieldPosition="0">
        <references count="2">
          <reference field="4294967294" count="1" selected="0">
            <x v="0"/>
          </reference>
          <reference field="0" count="1" selected="0">
            <x v="2"/>
          </reference>
        </references>
      </pivotArea>
    </chartFormat>
    <chartFormat chart="0" format="3" series="1">
      <pivotArea type="data" outline="0" fieldPosition="0">
        <references count="2">
          <reference field="4294967294" count="1" selected="0">
            <x v="0"/>
          </reference>
          <reference field="0" count="1" selected="0">
            <x v="3"/>
          </reference>
        </references>
      </pivotArea>
    </chartFormat>
    <chartFormat chart="0" format="4" series="1">
      <pivotArea type="data" outline="0" fieldPosition="0">
        <references count="2">
          <reference field="4294967294" count="1" selected="0">
            <x v="0"/>
          </reference>
          <reference field="0" count="1" selected="0">
            <x v="4"/>
          </reference>
        </references>
      </pivotArea>
    </chartFormat>
    <chartFormat chart="3" format="10" series="1">
      <pivotArea type="data" outline="0" fieldPosition="0">
        <references count="2">
          <reference field="4294967294" count="1" selected="0">
            <x v="0"/>
          </reference>
          <reference field="0" count="1" selected="0">
            <x v="0"/>
          </reference>
        </references>
      </pivotArea>
    </chartFormat>
    <chartFormat chart="3" format="11" series="1">
      <pivotArea type="data" outline="0" fieldPosition="0">
        <references count="2">
          <reference field="4294967294" count="1" selected="0">
            <x v="0"/>
          </reference>
          <reference field="0" count="1" selected="0">
            <x v="1"/>
          </reference>
        </references>
      </pivotArea>
    </chartFormat>
    <chartFormat chart="3" format="12" series="1">
      <pivotArea type="data" outline="0" fieldPosition="0">
        <references count="2">
          <reference field="4294967294" count="1" selected="0">
            <x v="0"/>
          </reference>
          <reference field="0" count="1" selected="0">
            <x v="2"/>
          </reference>
        </references>
      </pivotArea>
    </chartFormat>
    <chartFormat chart="3" format="13" series="1">
      <pivotArea type="data" outline="0" fieldPosition="0">
        <references count="2">
          <reference field="4294967294" count="1" selected="0">
            <x v="0"/>
          </reference>
          <reference field="0" count="1" selected="0">
            <x v="3"/>
          </reference>
        </references>
      </pivotArea>
    </chartFormat>
    <chartFormat chart="3" format="14" series="1">
      <pivotArea type="data" outline="0" fieldPosition="0">
        <references count="2">
          <reference field="4294967294" count="1" selected="0">
            <x v="0"/>
          </reference>
          <reference field="0"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D79932A-7C8A-4BA9-99C3-81116ABD0B2F}" name="Table1" displayName="Table1" ref="A5:J35" totalsRowShown="0" headerRowDxfId="85" headerRowBorderDxfId="84" tableBorderDxfId="83">
  <autoFilter ref="A5:J35" xr:uid="{DD79932A-7C8A-4BA9-99C3-81116ABD0B2F}"/>
  <tableColumns count="10">
    <tableColumn id="1" xr3:uid="{1F060553-48A7-4891-9248-1A7C15735073}" name="Company" dataDxfId="82"/>
    <tableColumn id="2" xr3:uid="{3A05E683-DCD4-4DC9-AA9D-BEC394F4713B}" name="Year" dataDxfId="81"/>
    <tableColumn id="3" xr3:uid="{C64C8132-6F4C-4CF5-8FF6-82696DF32FEB}" name="Net Profit (Rs. Cr)" dataDxfId="80"/>
    <tableColumn id="4" xr3:uid="{C99A8018-CE5B-4479-AA47-2CD334B16238}" name="Previous year Profit (Rs. Cr0" dataDxfId="79"/>
    <tableColumn id="5" xr3:uid="{628AC328-B909-49A7-B362-3B5736EF342D}" name="Operating Profit (Rs. Cr)" dataDxfId="78"/>
    <tableColumn id="6" xr3:uid="{3F594FE7-D26F-4104-8E55-F37F8D422EFC}" name="Sales (Rs. Cr0" dataDxfId="77"/>
    <tableColumn id="7" xr3:uid="{9BE5ACC6-3E98-47C0-BC56-DEA578655568}" name="Pre. Year Sales(Rs. Cr)" dataDxfId="76"/>
    <tableColumn id="8" xr3:uid="{F072E5D5-8806-45E2-9B80-EA151C802758}" name="Profit Growth (%)" dataDxfId="75"/>
    <tableColumn id="9" xr3:uid="{0BED5A96-7E6A-481B-8659-34D7AEBF488A}" name="Revenue Growth (%)" dataDxfId="74"/>
    <tableColumn id="10" xr3:uid="{33FE5E14-837B-4081-90A2-860907E596E9}" name="Operating Profit Growth (%)" dataDxfId="73"/>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A9AF31C7-911B-4E3F-A719-1E38B407E886}" name="Table2" displayName="Table2" ref="A5:G35" totalsRowShown="0" headerRowDxfId="72" dataDxfId="70" headerRowBorderDxfId="71" tableBorderDxfId="69">
  <autoFilter ref="A5:G35" xr:uid="{A9AF31C7-911B-4E3F-A719-1E38B407E886}"/>
  <tableColumns count="7">
    <tableColumn id="1" xr3:uid="{0B4F3AB3-CE32-4355-B3F3-3004802D300D}" name="Company" dataDxfId="68"/>
    <tableColumn id="2" xr3:uid="{99218BF7-DE5E-4FF7-A72D-64418E3B4A41}" name="Year" dataDxfId="67"/>
    <tableColumn id="3" xr3:uid="{C21E2DD3-AEDA-46F9-AB06-DAE86EBBD0D4}" name="Sales (Rs. Cr)" dataDxfId="66"/>
    <tableColumn id="4" xr3:uid="{421E1B57-AAE4-4A85-A46F-FDE7844725E7}" name="Net Profit (Rs. Cr)" dataDxfId="65"/>
    <tableColumn id="5" xr3:uid="{08CC3DE6-34D0-461F-A3FE-E6D0A8F0EA37}" name="Operating Profit (Rs. Cr)" dataDxfId="64"/>
    <tableColumn id="6" xr3:uid="{E6780308-5B5E-478D-837D-99B71CC7AC3E}" name="Net Profit Margin (%)" dataDxfId="63"/>
    <tableColumn id="7" xr3:uid="{6C9D2C1F-BA22-4CF9-BA6E-24E29985A38C}" name="Operating Profit Margin (%)" dataDxfId="62"/>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3C949C4E-4A34-475C-997B-3871CFDC26BD}" name="Table4" displayName="Table4" ref="A5:D35" totalsRowShown="0" headerRowDxfId="48" headerRowBorderDxfId="47" tableBorderDxfId="46">
  <autoFilter ref="A5:D35" xr:uid="{3C949C4E-4A34-475C-997B-3871CFDC26BD}"/>
  <tableColumns count="4">
    <tableColumn id="1" xr3:uid="{5CFCE28F-236F-4647-B078-1A0FD4E8D9D1}" name="Company" dataDxfId="45"/>
    <tableColumn id="2" xr3:uid="{4AAB45FF-3B3D-41C6-B651-43741A8906D0}" name="Year" dataDxfId="44"/>
    <tableColumn id="3" xr3:uid="{33BD0217-DBBD-4FA8-BC78-772151A16AF1}" name="Sales" dataDxfId="43"/>
    <tableColumn id="4" xr3:uid="{17FE73BA-023A-4D72-8816-5B96CC6AC635}" name="Revenue Market Share (%)" dataDxfId="42"/>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8670C9CE-C790-4159-B280-339F82840C6F}" name="Table3" displayName="Table3" ref="A5:J35" totalsRowShown="0" headerRowDxfId="61" dataDxfId="60" tableBorderDxfId="59">
  <autoFilter ref="A5:J35" xr:uid="{8670C9CE-C790-4159-B280-339F82840C6F}"/>
  <tableColumns count="10">
    <tableColumn id="1" xr3:uid="{7FE842DA-DB4F-4938-A5B8-9EEB2FBB65FB}" name="Company" dataDxfId="58"/>
    <tableColumn id="2" xr3:uid="{9FDAC48A-6032-460A-8793-F2A812D2094C}" name="Year" dataDxfId="57"/>
    <tableColumn id="3" xr3:uid="{237564AF-5769-4DC3-A2FB-1CE8E256C821}" name="Borrowings (Rs. Cr)" dataDxfId="56"/>
    <tableColumn id="4" xr3:uid="{98203D44-39DE-4086-8132-1A6D681CB2A1}" name="Shareholder Equity" dataDxfId="55"/>
    <tableColumn id="5" xr3:uid="{C1052854-40CB-47A2-853E-930F17ADFD30}" name="Net Profit (Rs. Cr)" dataDxfId="54"/>
    <tableColumn id="6" xr3:uid="{E4762DDE-68B5-4FA4-8609-8698CB372A77}" name="Total Assets (Rs. Cr)" dataDxfId="53"/>
    <tableColumn id="7" xr3:uid="{411AC434-BA32-45A6-A2BE-7DE29F95626F}" name="Debt-to-Equity" dataDxfId="52"/>
    <tableColumn id="8" xr3:uid="{BA2AF725-9180-42EA-86F7-5DC6393A4AED}" name="ROE %" dataDxfId="51"/>
    <tableColumn id="9" xr3:uid="{638CB809-6FDB-4042-BE73-496F834B8966}" name="ROA %" dataDxfId="50"/>
    <tableColumn id="10" xr3:uid="{8913516B-45EA-4126-B57A-BA974A145F5B}" name="Asset Turnover" dataDxfId="49"/>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CF361249-8827-4935-9922-0C17A541EA6F}" name="Table5" displayName="Table5" ref="A5:H35" totalsRowShown="0" headerRowDxfId="41" dataDxfId="39" headerRowBorderDxfId="40" tableBorderDxfId="38">
  <autoFilter ref="A5:H35" xr:uid="{CF361249-8827-4935-9922-0C17A541EA6F}"/>
  <tableColumns count="8">
    <tableColumn id="1" xr3:uid="{3227D783-D398-4F54-813A-B7A9974F3022}" name="Company" dataDxfId="37"/>
    <tableColumn id="2" xr3:uid="{DF0A9D56-F8EE-4244-BB07-D5D6ACAF4178}" name="Year" dataDxfId="36"/>
    <tableColumn id="3" xr3:uid="{CACA0160-212A-45E2-9837-A36886B54AC1}" name="Cash &amp; Bank" dataDxfId="35"/>
    <tableColumn id="4" xr3:uid="{D5D211E2-D3EF-40F9-94C9-1A810433CE98}" name="Total Liabilities (Rs. Cr)" dataDxfId="34"/>
    <tableColumn id="5" xr3:uid="{795C3FE5-8897-4E27-8EBA-37D398F6F994}" name="Receivables (Rs. Cr)" dataDxfId="33"/>
    <tableColumn id="6" xr3:uid="{EEF7DBE7-2973-4E67-A6BB-270C990561C2}" name="Sales (Rs. Cr)" dataDxfId="32"/>
    <tableColumn id="7" xr3:uid="{9BE1CFAD-C81B-48B1-A8C4-47B3B925C920}" name="Cash Ratio" dataDxfId="31"/>
    <tableColumn id="8" xr3:uid="{6C22DEDB-904D-4E64-AE93-4137BB3157D8}" name="Receivables-to-Revenue(%)" dataDxfId="3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_rels/sheet5.xml.rels><?xml version="1.0" encoding="UTF-8" standalone="yes"?>
<Relationships xmlns="http://schemas.openxmlformats.org/package/2006/relationships"><Relationship Id="rId1" Type="http://schemas.openxmlformats.org/officeDocument/2006/relationships/table" Target="../tables/table4.xml"/></Relationships>
</file>

<file path=xl/worksheets/_rels/sheet6.xml.rels><?xml version="1.0" encoding="UTF-8" standalone="yes"?>
<Relationships xmlns="http://schemas.openxmlformats.org/package/2006/relationships"><Relationship Id="rId1" Type="http://schemas.openxmlformats.org/officeDocument/2006/relationships/table" Target="../tables/table5.xml"/></Relationships>
</file>

<file path=xl/worksheets/_rels/sheet8.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_rels/sheet9.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ivotTable" Target="../pivotTables/pivotTable4.xml"/><Relationship Id="rId1" Type="http://schemas.openxmlformats.org/officeDocument/2006/relationships/pivotTable" Target="../pivotTables/pivotTable3.xml"/></Relationships>
</file>

<file path=xl/worksheets/_rels/sheet10.xml.rels><?xml version="1.0" encoding="UTF-8" standalone="yes"?>
<Relationships xmlns="http://schemas.openxmlformats.org/package/2006/relationships"><Relationship Id="rId3" Type="http://schemas.openxmlformats.org/officeDocument/2006/relationships/drawing" Target="../drawings/drawing4.xml"/><Relationship Id="rId2" Type="http://schemas.openxmlformats.org/officeDocument/2006/relationships/pivotTable" Target="../pivotTables/pivotTable6.xml"/><Relationship Id="rId1" Type="http://schemas.openxmlformats.org/officeDocument/2006/relationships/pivotTable" Target="../pivotTables/pivotTable5.xml"/></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7.xml"/></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8.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10AF9F-570A-4FD2-853C-E53587768251}">
  <sheetPr>
    <tabColor rgb="FFFF9900"/>
  </sheetPr>
  <dimension ref="D3:K21"/>
  <sheetViews>
    <sheetView showGridLines="0" tabSelected="1" workbookViewId="0">
      <selection activeCell="M17" sqref="M17"/>
    </sheetView>
  </sheetViews>
  <sheetFormatPr defaultRowHeight="13.8" x14ac:dyDescent="0.25"/>
  <cols>
    <col min="8" max="8" width="4.6640625" customWidth="1"/>
  </cols>
  <sheetData>
    <row r="3" spans="4:11" ht="14.4" thickBot="1" x14ac:dyDescent="0.3"/>
    <row r="4" spans="4:11" ht="14.4" thickTop="1" x14ac:dyDescent="0.25">
      <c r="D4" s="72"/>
      <c r="E4" s="79" t="s">
        <v>94</v>
      </c>
      <c r="F4" s="79"/>
      <c r="G4" s="79"/>
      <c r="H4" s="79"/>
      <c r="I4" s="79"/>
      <c r="J4" s="79"/>
      <c r="K4" s="73"/>
    </row>
    <row r="5" spans="4:11" x14ac:dyDescent="0.25">
      <c r="D5" s="74"/>
      <c r="E5" s="80"/>
      <c r="F5" s="80"/>
      <c r="G5" s="80"/>
      <c r="H5" s="80"/>
      <c r="I5" s="80"/>
      <c r="J5" s="80"/>
      <c r="K5" s="75"/>
    </row>
    <row r="6" spans="4:11" x14ac:dyDescent="0.25">
      <c r="D6" s="74"/>
      <c r="E6" s="80"/>
      <c r="F6" s="80"/>
      <c r="G6" s="80"/>
      <c r="H6" s="80"/>
      <c r="I6" s="80"/>
      <c r="J6" s="80"/>
      <c r="K6" s="75"/>
    </row>
    <row r="7" spans="4:11" x14ac:dyDescent="0.25">
      <c r="D7" s="74"/>
      <c r="E7" s="82"/>
      <c r="F7" s="82"/>
      <c r="G7" s="82"/>
      <c r="H7" s="82"/>
      <c r="I7" s="80" t="s">
        <v>99</v>
      </c>
      <c r="J7" s="80"/>
      <c r="K7" s="75"/>
    </row>
    <row r="8" spans="4:11" x14ac:dyDescent="0.25">
      <c r="D8" s="74"/>
      <c r="E8" s="45"/>
      <c r="F8" s="45"/>
      <c r="G8" s="45"/>
      <c r="H8" s="45"/>
      <c r="I8" s="45"/>
      <c r="J8" s="45"/>
      <c r="K8" s="75"/>
    </row>
    <row r="9" spans="4:11" x14ac:dyDescent="0.25">
      <c r="D9" s="74"/>
      <c r="E9" s="45" t="s">
        <v>90</v>
      </c>
      <c r="F9" s="45"/>
      <c r="G9" s="45"/>
      <c r="H9" s="45"/>
      <c r="I9" s="45"/>
      <c r="J9" s="45"/>
      <c r="K9" s="75"/>
    </row>
    <row r="10" spans="4:11" x14ac:dyDescent="0.25">
      <c r="D10" s="74"/>
      <c r="E10" s="45" t="s">
        <v>91</v>
      </c>
      <c r="F10" s="45"/>
      <c r="G10" s="45"/>
      <c r="H10" s="45"/>
      <c r="I10" s="45"/>
      <c r="J10" s="45"/>
      <c r="K10" s="75"/>
    </row>
    <row r="11" spans="4:11" x14ac:dyDescent="0.25">
      <c r="D11" s="74"/>
      <c r="E11" s="45" t="s">
        <v>95</v>
      </c>
      <c r="F11" s="45"/>
      <c r="G11" s="45"/>
      <c r="H11" s="45"/>
      <c r="I11" s="45"/>
      <c r="J11" s="45"/>
      <c r="K11" s="75"/>
    </row>
    <row r="12" spans="4:11" x14ac:dyDescent="0.25">
      <c r="D12" s="74"/>
      <c r="F12" s="45"/>
      <c r="H12" s="45"/>
      <c r="I12" s="45"/>
      <c r="J12" s="45"/>
      <c r="K12" s="75"/>
    </row>
    <row r="13" spans="4:11" x14ac:dyDescent="0.25">
      <c r="D13" s="74"/>
      <c r="E13" s="81" t="s">
        <v>92</v>
      </c>
      <c r="F13" s="45"/>
      <c r="G13" s="45"/>
      <c r="H13" s="45"/>
      <c r="I13" s="45"/>
      <c r="J13" s="45"/>
      <c r="K13" s="75"/>
    </row>
    <row r="14" spans="4:11" x14ac:dyDescent="0.25">
      <c r="D14" s="74"/>
      <c r="F14" s="45"/>
      <c r="H14" s="45"/>
      <c r="I14" s="45"/>
      <c r="J14" s="45"/>
      <c r="K14" s="75"/>
    </row>
    <row r="15" spans="4:11" x14ac:dyDescent="0.25">
      <c r="D15" s="74"/>
      <c r="E15" s="81" t="s">
        <v>96</v>
      </c>
      <c r="F15" s="45"/>
      <c r="G15" s="45"/>
      <c r="H15" s="45"/>
      <c r="I15" s="45"/>
      <c r="J15" s="45"/>
      <c r="K15" s="75"/>
    </row>
    <row r="16" spans="4:11" x14ac:dyDescent="0.25">
      <c r="D16" s="74"/>
      <c r="E16" s="81" t="s">
        <v>71</v>
      </c>
      <c r="F16" s="45"/>
      <c r="G16" s="45"/>
      <c r="H16" s="45"/>
      <c r="I16" s="45"/>
      <c r="J16" s="45"/>
      <c r="K16" s="75"/>
    </row>
    <row r="17" spans="4:11" x14ac:dyDescent="0.25">
      <c r="D17" s="74"/>
      <c r="F17" s="45"/>
      <c r="H17" s="45"/>
      <c r="I17" s="45"/>
      <c r="J17" s="45"/>
      <c r="K17" s="75"/>
    </row>
    <row r="18" spans="4:11" x14ac:dyDescent="0.25">
      <c r="D18" s="74"/>
      <c r="E18" s="81" t="s">
        <v>97</v>
      </c>
      <c r="F18" s="45"/>
      <c r="G18" s="45"/>
      <c r="H18" s="45"/>
      <c r="I18" s="45"/>
      <c r="J18" s="45"/>
      <c r="K18" s="75"/>
    </row>
    <row r="19" spans="4:11" ht="23.4" customHeight="1" thickBot="1" x14ac:dyDescent="0.3">
      <c r="D19" s="76"/>
      <c r="E19" s="83" t="s">
        <v>98</v>
      </c>
      <c r="F19" s="77"/>
      <c r="G19" s="45"/>
      <c r="H19" s="77"/>
      <c r="I19" s="77"/>
      <c r="J19" s="77"/>
      <c r="K19" s="78"/>
    </row>
    <row r="20" spans="4:11" ht="14.4" thickTop="1" x14ac:dyDescent="0.25">
      <c r="D20" s="71"/>
      <c r="E20" s="71"/>
      <c r="F20" s="71"/>
      <c r="G20" s="71"/>
      <c r="H20" s="71"/>
      <c r="I20" s="71"/>
      <c r="J20" s="71"/>
      <c r="K20" s="71"/>
    </row>
    <row r="21" spans="4:11" x14ac:dyDescent="0.25">
      <c r="D21" s="45"/>
      <c r="E21" s="45"/>
      <c r="F21" s="45"/>
      <c r="G21" s="45"/>
      <c r="H21" s="45"/>
      <c r="I21" s="45"/>
      <c r="J21" s="45"/>
      <c r="K21" s="45"/>
    </row>
  </sheetData>
  <mergeCells count="2">
    <mergeCell ref="E4:J6"/>
    <mergeCell ref="I7:J7"/>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EFD8ED-EB5D-43BA-B4BF-FF9CBB9E4565}">
  <sheetPr>
    <tabColor rgb="FF92D050"/>
  </sheetPr>
  <dimension ref="A1:J35"/>
  <sheetViews>
    <sheetView showGridLines="0" zoomScale="75" workbookViewId="0">
      <pane ySplit="5" topLeftCell="A6" activePane="bottomLeft" state="frozen"/>
      <selection pane="bottomLeft" activeCell="F6" sqref="F6"/>
    </sheetView>
  </sheetViews>
  <sheetFormatPr defaultRowHeight="13.8" x14ac:dyDescent="0.25"/>
  <cols>
    <col min="1" max="1" width="13.44140625" bestFit="1" customWidth="1"/>
    <col min="3" max="3" width="19.77734375" customWidth="1"/>
    <col min="4" max="4" width="29.44140625" customWidth="1"/>
    <col min="5" max="5" width="25.77734375" customWidth="1"/>
    <col min="6" max="6" width="16" customWidth="1"/>
    <col min="7" max="7" width="24.33203125" customWidth="1"/>
    <col min="8" max="8" width="19.5546875" style="3" customWidth="1"/>
    <col min="9" max="9" width="22.109375" customWidth="1"/>
    <col min="10" max="10" width="29.33203125" customWidth="1"/>
  </cols>
  <sheetData>
    <row r="1" spans="1:10" x14ac:dyDescent="0.25">
      <c r="A1" s="40" t="s">
        <v>6</v>
      </c>
      <c r="B1" s="41"/>
      <c r="C1" s="41"/>
      <c r="D1" s="41"/>
      <c r="E1" s="41"/>
      <c r="F1" s="41"/>
      <c r="G1" s="41"/>
      <c r="H1" s="41"/>
      <c r="I1" s="41"/>
      <c r="J1" s="41"/>
    </row>
    <row r="2" spans="1:10" ht="22.2" customHeight="1" x14ac:dyDescent="0.25">
      <c r="A2" s="41"/>
      <c r="B2" s="41"/>
      <c r="C2" s="41"/>
      <c r="D2" s="41"/>
      <c r="E2" s="41"/>
      <c r="F2" s="41"/>
      <c r="G2" s="41"/>
      <c r="H2" s="41"/>
      <c r="I2" s="41"/>
      <c r="J2" s="41"/>
    </row>
    <row r="3" spans="1:10" ht="7.8" customHeight="1" x14ac:dyDescent="0.25">
      <c r="A3" s="42" t="s">
        <v>7</v>
      </c>
      <c r="B3" s="43"/>
      <c r="C3" s="43"/>
      <c r="D3" s="43"/>
      <c r="E3" s="43"/>
      <c r="F3" s="43"/>
      <c r="G3" s="43"/>
      <c r="H3" s="43"/>
      <c r="I3" s="43"/>
      <c r="J3" s="43"/>
    </row>
    <row r="4" spans="1:10" ht="18.600000000000001" customHeight="1" x14ac:dyDescent="0.25">
      <c r="A4" s="43"/>
      <c r="B4" s="43"/>
      <c r="C4" s="43"/>
      <c r="D4" s="43"/>
      <c r="E4" s="43"/>
      <c r="F4" s="43"/>
      <c r="G4" s="43"/>
      <c r="H4" s="43"/>
      <c r="I4" s="43"/>
      <c r="J4" s="43"/>
    </row>
    <row r="5" spans="1:10" ht="33" customHeight="1" thickBot="1" x14ac:dyDescent="0.3">
      <c r="A5" s="31" t="s">
        <v>8</v>
      </c>
      <c r="B5" s="32" t="s">
        <v>9</v>
      </c>
      <c r="C5" s="32" t="s">
        <v>10</v>
      </c>
      <c r="D5" s="32" t="s">
        <v>11</v>
      </c>
      <c r="E5" s="32" t="s">
        <v>12</v>
      </c>
      <c r="F5" s="32" t="s">
        <v>13</v>
      </c>
      <c r="G5" s="32" t="s">
        <v>14</v>
      </c>
      <c r="H5" s="32" t="s">
        <v>15</v>
      </c>
      <c r="I5" s="32" t="s">
        <v>16</v>
      </c>
      <c r="J5" s="33" t="s">
        <v>17</v>
      </c>
    </row>
    <row r="6" spans="1:10" x14ac:dyDescent="0.25">
      <c r="A6" s="20" t="s">
        <v>0</v>
      </c>
      <c r="B6" s="5">
        <v>2019</v>
      </c>
      <c r="C6" s="6">
        <v>10120</v>
      </c>
      <c r="D6" s="6" t="s">
        <v>5</v>
      </c>
      <c r="E6" s="6">
        <v>14869</v>
      </c>
      <c r="F6" s="6">
        <v>60427</v>
      </c>
      <c r="G6" s="6" t="s">
        <v>5</v>
      </c>
      <c r="H6" s="2" t="s">
        <v>5</v>
      </c>
      <c r="I6" s="2" t="s">
        <v>5</v>
      </c>
      <c r="J6" s="23" t="s">
        <v>5</v>
      </c>
    </row>
    <row r="7" spans="1:10" x14ac:dyDescent="0.25">
      <c r="A7" s="21" t="s">
        <v>0</v>
      </c>
      <c r="B7" s="4">
        <v>2020</v>
      </c>
      <c r="C7" s="7">
        <v>11057</v>
      </c>
      <c r="D7" s="7">
        <v>10120</v>
      </c>
      <c r="E7" s="7">
        <v>17905</v>
      </c>
      <c r="F7" s="7">
        <v>70676</v>
      </c>
      <c r="G7" s="7">
        <v>60427</v>
      </c>
      <c r="H7" s="1">
        <v>9.26</v>
      </c>
      <c r="I7" s="1">
        <v>16.96</v>
      </c>
      <c r="J7" s="24">
        <v>20.420000000000002</v>
      </c>
    </row>
    <row r="8" spans="1:10" x14ac:dyDescent="0.25">
      <c r="A8" s="21" t="s">
        <v>0</v>
      </c>
      <c r="B8" s="4">
        <v>2021</v>
      </c>
      <c r="C8" s="7">
        <v>11145</v>
      </c>
      <c r="D8" s="7">
        <v>11057</v>
      </c>
      <c r="E8" s="7">
        <v>20951</v>
      </c>
      <c r="F8" s="7">
        <v>75379</v>
      </c>
      <c r="G8" s="7">
        <v>70676</v>
      </c>
      <c r="H8" s="1">
        <v>0.8</v>
      </c>
      <c r="I8" s="1">
        <v>6.65</v>
      </c>
      <c r="J8" s="24">
        <v>17.010000000000002</v>
      </c>
    </row>
    <row r="9" spans="1:10" x14ac:dyDescent="0.25">
      <c r="A9" s="21" t="s">
        <v>0</v>
      </c>
      <c r="B9" s="4">
        <v>2022</v>
      </c>
      <c r="C9" s="7">
        <v>13499</v>
      </c>
      <c r="D9" s="7">
        <v>11145</v>
      </c>
      <c r="E9" s="7">
        <v>21572</v>
      </c>
      <c r="F9" s="7">
        <v>85651</v>
      </c>
      <c r="G9" s="7">
        <v>75379</v>
      </c>
      <c r="H9" s="1">
        <v>21.12</v>
      </c>
      <c r="I9" s="1">
        <v>13.63</v>
      </c>
      <c r="J9" s="24">
        <v>2.96</v>
      </c>
    </row>
    <row r="10" spans="1:10" x14ac:dyDescent="0.25">
      <c r="A10" s="21" t="s">
        <v>0</v>
      </c>
      <c r="B10" s="4">
        <v>2023</v>
      </c>
      <c r="C10" s="7">
        <v>14851</v>
      </c>
      <c r="D10" s="7">
        <v>13499</v>
      </c>
      <c r="E10" s="7">
        <v>23992</v>
      </c>
      <c r="F10" s="7">
        <v>101456</v>
      </c>
      <c r="G10" s="7">
        <v>85651</v>
      </c>
      <c r="H10" s="1">
        <v>10.02</v>
      </c>
      <c r="I10" s="1">
        <v>18.45</v>
      </c>
      <c r="J10" s="24">
        <v>11.22</v>
      </c>
    </row>
    <row r="11" spans="1:10" ht="14.4" thickBot="1" x14ac:dyDescent="0.3">
      <c r="A11" s="22" t="s">
        <v>0</v>
      </c>
      <c r="B11" s="8">
        <v>2024</v>
      </c>
      <c r="C11" s="9">
        <v>15702</v>
      </c>
      <c r="D11" s="9">
        <v>14851</v>
      </c>
      <c r="E11" s="9">
        <v>25685</v>
      </c>
      <c r="F11" s="9">
        <v>109913</v>
      </c>
      <c r="G11" s="9">
        <v>101456</v>
      </c>
      <c r="H11" s="10">
        <v>5.73</v>
      </c>
      <c r="I11" s="10">
        <v>8.34</v>
      </c>
      <c r="J11" s="25">
        <v>7.06</v>
      </c>
    </row>
    <row r="12" spans="1:10" x14ac:dyDescent="0.25">
      <c r="A12" s="20" t="s">
        <v>1</v>
      </c>
      <c r="B12" s="5">
        <v>2019</v>
      </c>
      <c r="C12" s="6">
        <v>15404</v>
      </c>
      <c r="D12" s="6" t="s">
        <v>5</v>
      </c>
      <c r="E12" s="6">
        <v>23046</v>
      </c>
      <c r="F12" s="6">
        <v>82675</v>
      </c>
      <c r="G12" s="6" t="s">
        <v>5</v>
      </c>
      <c r="H12" s="2" t="s">
        <v>5</v>
      </c>
      <c r="I12" s="2" t="s">
        <v>5</v>
      </c>
      <c r="J12" s="23" t="s">
        <v>5</v>
      </c>
    </row>
    <row r="13" spans="1:10" x14ac:dyDescent="0.25">
      <c r="A13" s="21" t="s">
        <v>1</v>
      </c>
      <c r="B13" s="4">
        <v>2020</v>
      </c>
      <c r="C13" s="7">
        <v>16594</v>
      </c>
      <c r="D13" s="7">
        <v>15404</v>
      </c>
      <c r="E13" s="7">
        <v>25025</v>
      </c>
      <c r="F13" s="7">
        <v>90791</v>
      </c>
      <c r="G13" s="7">
        <v>82675</v>
      </c>
      <c r="H13" s="1">
        <v>7.73</v>
      </c>
      <c r="I13" s="1">
        <v>9.82</v>
      </c>
      <c r="J13" s="24">
        <v>8.59</v>
      </c>
    </row>
    <row r="14" spans="1:10" x14ac:dyDescent="0.25">
      <c r="A14" s="21" t="s">
        <v>1</v>
      </c>
      <c r="B14" s="4">
        <v>2021</v>
      </c>
      <c r="C14" s="7">
        <v>19351</v>
      </c>
      <c r="D14" s="7">
        <v>16594</v>
      </c>
      <c r="E14" s="7">
        <v>30018</v>
      </c>
      <c r="F14" s="7">
        <v>100472</v>
      </c>
      <c r="G14" s="7">
        <v>90791</v>
      </c>
      <c r="H14" s="1">
        <v>16.61</v>
      </c>
      <c r="I14" s="1">
        <v>10.66</v>
      </c>
      <c r="J14" s="24">
        <v>19.95</v>
      </c>
    </row>
    <row r="15" spans="1:10" x14ac:dyDescent="0.25">
      <c r="A15" s="21" t="s">
        <v>1</v>
      </c>
      <c r="B15" s="4">
        <v>2022</v>
      </c>
      <c r="C15" s="7">
        <v>22110</v>
      </c>
      <c r="D15" s="7">
        <v>19351</v>
      </c>
      <c r="E15" s="7">
        <v>33750</v>
      </c>
      <c r="F15" s="7">
        <v>121641</v>
      </c>
      <c r="G15" s="7">
        <v>100472</v>
      </c>
      <c r="H15" s="1">
        <v>14.26</v>
      </c>
      <c r="I15" s="1">
        <v>21.07</v>
      </c>
      <c r="J15" s="24">
        <v>12.43</v>
      </c>
    </row>
    <row r="16" spans="1:10" x14ac:dyDescent="0.25">
      <c r="A16" s="21" t="s">
        <v>1</v>
      </c>
      <c r="B16" s="4">
        <v>2023</v>
      </c>
      <c r="C16" s="7">
        <v>24095</v>
      </c>
      <c r="D16" s="7">
        <v>22110</v>
      </c>
      <c r="E16" s="7">
        <v>37818</v>
      </c>
      <c r="F16" s="7">
        <v>146767</v>
      </c>
      <c r="G16" s="7">
        <v>121641</v>
      </c>
      <c r="H16" s="1">
        <v>8.98</v>
      </c>
      <c r="I16" s="1">
        <v>20.66</v>
      </c>
      <c r="J16" s="24">
        <v>12.05</v>
      </c>
    </row>
    <row r="17" spans="1:10" ht="14.4" thickBot="1" x14ac:dyDescent="0.3">
      <c r="A17" s="22" t="s">
        <v>1</v>
      </c>
      <c r="B17" s="8">
        <v>2024</v>
      </c>
      <c r="C17" s="9">
        <v>26233</v>
      </c>
      <c r="D17" s="9">
        <v>24095</v>
      </c>
      <c r="E17" s="9">
        <v>41121</v>
      </c>
      <c r="F17" s="9">
        <v>153670</v>
      </c>
      <c r="G17" s="9">
        <v>146767</v>
      </c>
      <c r="H17" s="10">
        <v>8.8699999999999992</v>
      </c>
      <c r="I17" s="10">
        <v>4.7</v>
      </c>
      <c r="J17" s="25">
        <v>8.73</v>
      </c>
    </row>
    <row r="18" spans="1:10" x14ac:dyDescent="0.25">
      <c r="A18" s="20" t="s">
        <v>2</v>
      </c>
      <c r="B18" s="5">
        <v>2019</v>
      </c>
      <c r="C18" s="6">
        <v>31472</v>
      </c>
      <c r="D18" s="6" t="s">
        <v>5</v>
      </c>
      <c r="E18" s="6">
        <v>43727</v>
      </c>
      <c r="F18" s="6">
        <v>146463</v>
      </c>
      <c r="G18" s="6" t="s">
        <v>5</v>
      </c>
      <c r="H18" s="2" t="s">
        <v>5</v>
      </c>
      <c r="I18" s="2" t="s">
        <v>5</v>
      </c>
      <c r="J18" s="23" t="s">
        <v>5</v>
      </c>
    </row>
    <row r="19" spans="1:10" x14ac:dyDescent="0.25">
      <c r="A19" s="21" t="s">
        <v>2</v>
      </c>
      <c r="B19" s="4">
        <v>2020</v>
      </c>
      <c r="C19" s="7">
        <v>32340</v>
      </c>
      <c r="D19" s="7">
        <v>31472</v>
      </c>
      <c r="E19" s="7">
        <v>46594</v>
      </c>
      <c r="F19" s="7">
        <v>156949</v>
      </c>
      <c r="G19" s="7">
        <v>146463</v>
      </c>
      <c r="H19" s="1">
        <v>2.76</v>
      </c>
      <c r="I19" s="1">
        <v>7.16</v>
      </c>
      <c r="J19" s="24">
        <v>6.56</v>
      </c>
    </row>
    <row r="20" spans="1:10" x14ac:dyDescent="0.25">
      <c r="A20" s="21" t="s">
        <v>2</v>
      </c>
      <c r="B20" s="4">
        <v>2021</v>
      </c>
      <c r="C20" s="7">
        <v>32430</v>
      </c>
      <c r="D20" s="7">
        <v>32340</v>
      </c>
      <c r="E20" s="7">
        <v>48330</v>
      </c>
      <c r="F20" s="7">
        <v>164177</v>
      </c>
      <c r="G20" s="7">
        <v>156949</v>
      </c>
      <c r="H20" s="1">
        <v>0.28000000000000003</v>
      </c>
      <c r="I20" s="1">
        <v>4.6100000000000003</v>
      </c>
      <c r="J20" s="24">
        <v>3.73</v>
      </c>
    </row>
    <row r="21" spans="1:10" x14ac:dyDescent="0.25">
      <c r="A21" s="21" t="s">
        <v>2</v>
      </c>
      <c r="B21" s="4">
        <v>2022</v>
      </c>
      <c r="C21" s="7">
        <v>38327</v>
      </c>
      <c r="D21" s="7">
        <v>32430</v>
      </c>
      <c r="E21" s="7">
        <v>56953</v>
      </c>
      <c r="F21" s="7">
        <v>191754</v>
      </c>
      <c r="G21" s="7">
        <v>164177</v>
      </c>
      <c r="H21" s="1">
        <v>18.18</v>
      </c>
      <c r="I21" s="1">
        <v>16.8</v>
      </c>
      <c r="J21" s="24">
        <v>17.84</v>
      </c>
    </row>
    <row r="22" spans="1:10" x14ac:dyDescent="0.25">
      <c r="A22" s="21" t="s">
        <v>2</v>
      </c>
      <c r="B22" s="4">
        <v>2023</v>
      </c>
      <c r="C22" s="7">
        <v>42147</v>
      </c>
      <c r="D22" s="7">
        <v>38327</v>
      </c>
      <c r="E22" s="7">
        <v>62552</v>
      </c>
      <c r="F22" s="7">
        <v>225458</v>
      </c>
      <c r="G22" s="7">
        <v>191754</v>
      </c>
      <c r="H22" s="1">
        <v>9.9700000000000006</v>
      </c>
      <c r="I22" s="1">
        <v>17.579999999999998</v>
      </c>
      <c r="J22" s="24">
        <v>9.83</v>
      </c>
    </row>
    <row r="23" spans="1:10" ht="14.4" thickBot="1" x14ac:dyDescent="0.3">
      <c r="A23" s="22" t="s">
        <v>2</v>
      </c>
      <c r="B23" s="8">
        <v>2024</v>
      </c>
      <c r="C23" s="9">
        <v>45908</v>
      </c>
      <c r="D23" s="9">
        <v>42147</v>
      </c>
      <c r="E23" s="9">
        <v>67569</v>
      </c>
      <c r="F23" s="9">
        <v>240893</v>
      </c>
      <c r="G23" s="9">
        <v>225458</v>
      </c>
      <c r="H23" s="10">
        <v>8.92</v>
      </c>
      <c r="I23" s="10">
        <v>6.85</v>
      </c>
      <c r="J23" s="25">
        <v>8.02</v>
      </c>
    </row>
    <row r="24" spans="1:10" x14ac:dyDescent="0.25">
      <c r="A24" s="20" t="s">
        <v>3</v>
      </c>
      <c r="B24" s="5">
        <v>2019</v>
      </c>
      <c r="C24" s="6">
        <v>4297.6000000000004</v>
      </c>
      <c r="D24" s="6" t="s">
        <v>5</v>
      </c>
      <c r="E24" s="6">
        <v>6814.4</v>
      </c>
      <c r="F24" s="6">
        <v>34742.1</v>
      </c>
      <c r="G24" s="6" t="s">
        <v>5</v>
      </c>
      <c r="H24" s="2" t="s">
        <v>5</v>
      </c>
      <c r="I24" s="2" t="s">
        <v>5</v>
      </c>
      <c r="J24" s="23" t="s">
        <v>5</v>
      </c>
    </row>
    <row r="25" spans="1:10" x14ac:dyDescent="0.25">
      <c r="A25" s="21" t="s">
        <v>3</v>
      </c>
      <c r="B25" s="4">
        <v>2020</v>
      </c>
      <c r="C25" s="7">
        <v>4033</v>
      </c>
      <c r="D25" s="7">
        <v>4297.6000000000004</v>
      </c>
      <c r="E25" s="7">
        <v>6831.1</v>
      </c>
      <c r="F25" s="7">
        <v>36867.699999999997</v>
      </c>
      <c r="G25" s="7">
        <v>34742.1</v>
      </c>
      <c r="H25" s="1">
        <v>-6.16</v>
      </c>
      <c r="I25" s="1">
        <v>6.12</v>
      </c>
      <c r="J25" s="24">
        <v>0.25</v>
      </c>
    </row>
    <row r="26" spans="1:10" x14ac:dyDescent="0.25">
      <c r="A26" s="21" t="s">
        <v>3</v>
      </c>
      <c r="B26" s="4">
        <v>2021</v>
      </c>
      <c r="C26" s="7">
        <v>4428</v>
      </c>
      <c r="D26" s="7">
        <v>4033</v>
      </c>
      <c r="E26" s="7">
        <v>7659.6</v>
      </c>
      <c r="F26" s="7">
        <v>37855.1</v>
      </c>
      <c r="G26" s="7">
        <v>36867.699999999997</v>
      </c>
      <c r="H26" s="1">
        <v>9.7899999999999991</v>
      </c>
      <c r="I26" s="1">
        <v>2.68</v>
      </c>
      <c r="J26" s="24">
        <v>12.13</v>
      </c>
    </row>
    <row r="27" spans="1:10" x14ac:dyDescent="0.25">
      <c r="A27" s="21" t="s">
        <v>3</v>
      </c>
      <c r="B27" s="4">
        <v>2022</v>
      </c>
      <c r="C27" s="7">
        <v>5566.1</v>
      </c>
      <c r="D27" s="7">
        <v>4428</v>
      </c>
      <c r="E27" s="7">
        <v>9071.1</v>
      </c>
      <c r="F27" s="7">
        <v>44646</v>
      </c>
      <c r="G27" s="7">
        <v>37855.1</v>
      </c>
      <c r="H27" s="1">
        <v>25.7</v>
      </c>
      <c r="I27" s="1">
        <v>17.940000000000001</v>
      </c>
      <c r="J27" s="24">
        <v>18.43</v>
      </c>
    </row>
    <row r="28" spans="1:10" x14ac:dyDescent="0.25">
      <c r="A28" s="21" t="s">
        <v>3</v>
      </c>
      <c r="B28" s="4">
        <v>2023</v>
      </c>
      <c r="C28" s="7">
        <v>4831.3</v>
      </c>
      <c r="D28" s="7">
        <v>5566.1</v>
      </c>
      <c r="E28" s="7">
        <v>8702.1</v>
      </c>
      <c r="F28" s="7">
        <v>53290.2</v>
      </c>
      <c r="G28" s="7">
        <v>44646</v>
      </c>
      <c r="H28" s="1">
        <v>-13.2</v>
      </c>
      <c r="I28" s="1">
        <v>19.36</v>
      </c>
      <c r="J28" s="24">
        <v>-4.07</v>
      </c>
    </row>
    <row r="29" spans="1:10" ht="14.4" thickBot="1" x14ac:dyDescent="0.3">
      <c r="A29" s="22" t="s">
        <v>3</v>
      </c>
      <c r="B29" s="8">
        <v>2024</v>
      </c>
      <c r="C29" s="9">
        <v>2357.8000000000002</v>
      </c>
      <c r="D29" s="9">
        <v>4831.3</v>
      </c>
      <c r="E29" s="9">
        <v>5394.7</v>
      </c>
      <c r="F29" s="9">
        <v>51995.5</v>
      </c>
      <c r="G29" s="9">
        <v>53290.2</v>
      </c>
      <c r="H29" s="10">
        <v>-51.2</v>
      </c>
      <c r="I29" s="10">
        <v>-2.4300000000000002</v>
      </c>
      <c r="J29" s="25">
        <v>-38.01</v>
      </c>
    </row>
    <row r="30" spans="1:10" x14ac:dyDescent="0.25">
      <c r="A30" s="20" t="s">
        <v>4</v>
      </c>
      <c r="B30" s="5">
        <v>2019</v>
      </c>
      <c r="C30" s="6">
        <v>9003.7000000000007</v>
      </c>
      <c r="D30" s="6" t="s">
        <v>5</v>
      </c>
      <c r="E30" s="6">
        <v>14212.2</v>
      </c>
      <c r="F30" s="6">
        <v>59018.9</v>
      </c>
      <c r="G30" s="6" t="s">
        <v>5</v>
      </c>
      <c r="H30" s="2" t="s">
        <v>5</v>
      </c>
      <c r="I30" s="2" t="s">
        <v>5</v>
      </c>
      <c r="J30" s="23"/>
    </row>
    <row r="31" spans="1:10" x14ac:dyDescent="0.25">
      <c r="A31" s="21" t="s">
        <v>4</v>
      </c>
      <c r="B31" s="4">
        <v>2020</v>
      </c>
      <c r="C31" s="7">
        <v>9722.2999999999993</v>
      </c>
      <c r="D31" s="7">
        <v>9003.7000000000007</v>
      </c>
      <c r="E31" s="7">
        <v>15020.7</v>
      </c>
      <c r="F31" s="7">
        <v>61137.599999999999</v>
      </c>
      <c r="G31" s="7">
        <v>59018.9</v>
      </c>
      <c r="H31" s="1">
        <v>7.98</v>
      </c>
      <c r="I31" s="1">
        <v>3.59</v>
      </c>
      <c r="J31" s="24">
        <v>5.69</v>
      </c>
    </row>
    <row r="32" spans="1:10" x14ac:dyDescent="0.25">
      <c r="A32" s="21" t="s">
        <v>4</v>
      </c>
      <c r="B32" s="4">
        <v>2021</v>
      </c>
      <c r="C32" s="7">
        <v>10796.4</v>
      </c>
      <c r="D32" s="7">
        <v>9722.2999999999993</v>
      </c>
      <c r="E32" s="7">
        <v>17103.5</v>
      </c>
      <c r="F32" s="7">
        <v>61934.9</v>
      </c>
      <c r="G32" s="7">
        <v>61137.599999999999</v>
      </c>
      <c r="H32" s="1">
        <v>11.05</v>
      </c>
      <c r="I32" s="1">
        <v>1.3</v>
      </c>
      <c r="J32" s="24">
        <v>13.87</v>
      </c>
    </row>
    <row r="33" spans="1:10" x14ac:dyDescent="0.25">
      <c r="A33" s="21" t="s">
        <v>4</v>
      </c>
      <c r="B33" s="4">
        <v>2022</v>
      </c>
      <c r="C33" s="7">
        <v>12229.6</v>
      </c>
      <c r="D33" s="7">
        <v>10796.4</v>
      </c>
      <c r="E33" s="7">
        <v>18737.3</v>
      </c>
      <c r="F33" s="7">
        <v>79312</v>
      </c>
      <c r="G33" s="7">
        <v>61934.9</v>
      </c>
      <c r="H33" s="1">
        <v>13.27</v>
      </c>
      <c r="I33" s="1">
        <v>28.06</v>
      </c>
      <c r="J33" s="24">
        <v>9.5500000000000007</v>
      </c>
    </row>
    <row r="34" spans="1:10" x14ac:dyDescent="0.25">
      <c r="A34" s="21" t="s">
        <v>4</v>
      </c>
      <c r="B34" s="4">
        <v>2023</v>
      </c>
      <c r="C34" s="7">
        <v>11350</v>
      </c>
      <c r="D34" s="7">
        <v>12229.6</v>
      </c>
      <c r="E34" s="7">
        <v>19097.099999999999</v>
      </c>
      <c r="F34" s="7">
        <v>90487.6</v>
      </c>
      <c r="G34" s="7">
        <v>79312</v>
      </c>
      <c r="H34" s="1">
        <v>-7.19</v>
      </c>
      <c r="I34" s="1">
        <v>14.09</v>
      </c>
      <c r="J34" s="24">
        <v>1.92</v>
      </c>
    </row>
    <row r="35" spans="1:10" x14ac:dyDescent="0.25">
      <c r="A35" s="29" t="s">
        <v>4</v>
      </c>
      <c r="B35" s="14">
        <v>2024</v>
      </c>
      <c r="C35" s="15">
        <v>11045.2</v>
      </c>
      <c r="D35" s="15">
        <v>11350</v>
      </c>
      <c r="E35" s="15">
        <v>19316.400000000001</v>
      </c>
      <c r="F35" s="15">
        <v>89760.3</v>
      </c>
      <c r="G35" s="15">
        <v>90487.6</v>
      </c>
      <c r="H35" s="16">
        <v>-2.69</v>
      </c>
      <c r="I35" s="16">
        <v>-0.8</v>
      </c>
      <c r="J35" s="30">
        <v>1.1499999999999999</v>
      </c>
    </row>
  </sheetData>
  <mergeCells count="2">
    <mergeCell ref="A1:J2"/>
    <mergeCell ref="A3:J4"/>
  </mergeCells>
  <conditionalFormatting sqref="H7:J11 H13:J17 H19:J23 H25:J29 H31:J35">
    <cfRule type="cellIs" dxfId="27" priority="1" operator="lessThan">
      <formula>0</formula>
    </cfRule>
    <cfRule type="cellIs" dxfId="26" priority="2" operator="greaterThan">
      <formula>10</formula>
    </cfRule>
    <cfRule type="cellIs" dxfId="25" priority="3" operator="between">
      <formula>0</formula>
      <formula>10</formula>
    </cfRule>
  </conditionalFormatting>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56FAC8-B132-4ED0-B364-9599B9651303}">
  <sheetPr>
    <tabColor rgb="FF92D050"/>
  </sheetPr>
  <dimension ref="A1:G35"/>
  <sheetViews>
    <sheetView showGridLines="0" zoomScaleNormal="100" workbookViewId="0">
      <pane ySplit="5" topLeftCell="A6" activePane="bottomLeft" state="frozen"/>
      <selection pane="bottomLeft" activeCell="G6" sqref="G6"/>
    </sheetView>
  </sheetViews>
  <sheetFormatPr defaultRowHeight="13.8" x14ac:dyDescent="0.25"/>
  <cols>
    <col min="1" max="1" width="13.44140625" bestFit="1" customWidth="1"/>
    <col min="3" max="3" width="15.5546875" customWidth="1"/>
    <col min="4" max="4" width="19.77734375" customWidth="1"/>
    <col min="5" max="5" width="25.77734375" customWidth="1"/>
    <col min="6" max="6" width="23.109375" customWidth="1"/>
    <col min="7" max="7" width="29.109375" customWidth="1"/>
  </cols>
  <sheetData>
    <row r="1" spans="1:7" ht="13.8" customHeight="1" x14ac:dyDescent="0.25">
      <c r="A1" s="40" t="s">
        <v>18</v>
      </c>
      <c r="B1" s="41"/>
      <c r="C1" s="41"/>
      <c r="D1" s="41"/>
      <c r="E1" s="41"/>
      <c r="F1" s="41"/>
      <c r="G1" s="41"/>
    </row>
    <row r="2" spans="1:7" ht="13.8" customHeight="1" x14ac:dyDescent="0.25">
      <c r="A2" s="41"/>
      <c r="B2" s="41"/>
      <c r="C2" s="41"/>
      <c r="D2" s="41"/>
      <c r="E2" s="41"/>
      <c r="F2" s="41"/>
      <c r="G2" s="41"/>
    </row>
    <row r="3" spans="1:7" x14ac:dyDescent="0.25">
      <c r="A3" s="42" t="s">
        <v>19</v>
      </c>
      <c r="B3" s="43"/>
      <c r="C3" s="43"/>
      <c r="D3" s="43"/>
      <c r="E3" s="43"/>
      <c r="F3" s="43"/>
      <c r="G3" s="43"/>
    </row>
    <row r="4" spans="1:7" x14ac:dyDescent="0.25">
      <c r="A4" s="43"/>
      <c r="B4" s="43"/>
      <c r="C4" s="43"/>
      <c r="D4" s="43"/>
      <c r="E4" s="43"/>
      <c r="F4" s="43"/>
      <c r="G4" s="43"/>
    </row>
    <row r="5" spans="1:7" ht="45.6" thickBot="1" x14ac:dyDescent="0.3">
      <c r="A5" s="31" t="s">
        <v>8</v>
      </c>
      <c r="B5" s="32" t="s">
        <v>9</v>
      </c>
      <c r="C5" s="32" t="s">
        <v>20</v>
      </c>
      <c r="D5" s="32" t="s">
        <v>10</v>
      </c>
      <c r="E5" s="32" t="s">
        <v>12</v>
      </c>
      <c r="F5" s="32" t="s">
        <v>21</v>
      </c>
      <c r="G5" s="33" t="s">
        <v>22</v>
      </c>
    </row>
    <row r="6" spans="1:7" x14ac:dyDescent="0.25">
      <c r="A6" s="20" t="s">
        <v>0</v>
      </c>
      <c r="B6" s="5">
        <v>2019</v>
      </c>
      <c r="C6" s="2">
        <v>60427</v>
      </c>
      <c r="D6" s="2">
        <v>10120</v>
      </c>
      <c r="E6" s="6">
        <v>14869</v>
      </c>
      <c r="F6" s="2">
        <v>16.75</v>
      </c>
      <c r="G6" s="23">
        <v>24.61</v>
      </c>
    </row>
    <row r="7" spans="1:7" x14ac:dyDescent="0.25">
      <c r="A7" s="21" t="s">
        <v>0</v>
      </c>
      <c r="B7" s="4">
        <v>2020</v>
      </c>
      <c r="C7" s="1">
        <v>70676</v>
      </c>
      <c r="D7" s="1">
        <v>11057</v>
      </c>
      <c r="E7" s="7">
        <v>17905</v>
      </c>
      <c r="F7" s="1">
        <v>15.64</v>
      </c>
      <c r="G7" s="24">
        <v>25.33</v>
      </c>
    </row>
    <row r="8" spans="1:7" x14ac:dyDescent="0.25">
      <c r="A8" s="21" t="s">
        <v>0</v>
      </c>
      <c r="B8" s="4">
        <v>2021</v>
      </c>
      <c r="C8" s="1">
        <v>75379</v>
      </c>
      <c r="D8" s="1">
        <v>11145</v>
      </c>
      <c r="E8" s="7">
        <v>20951</v>
      </c>
      <c r="F8" s="1">
        <v>14.79</v>
      </c>
      <c r="G8" s="24">
        <v>27.79</v>
      </c>
    </row>
    <row r="9" spans="1:7" x14ac:dyDescent="0.25">
      <c r="A9" s="21" t="s">
        <v>0</v>
      </c>
      <c r="B9" s="4">
        <v>2022</v>
      </c>
      <c r="C9" s="1">
        <v>85651</v>
      </c>
      <c r="D9" s="1">
        <v>13499</v>
      </c>
      <c r="E9" s="7">
        <v>21572</v>
      </c>
      <c r="F9" s="1">
        <v>15.76</v>
      </c>
      <c r="G9" s="24">
        <v>25.19</v>
      </c>
    </row>
    <row r="10" spans="1:7" x14ac:dyDescent="0.25">
      <c r="A10" s="21" t="s">
        <v>0</v>
      </c>
      <c r="B10" s="4">
        <v>2023</v>
      </c>
      <c r="C10" s="1">
        <v>101456</v>
      </c>
      <c r="D10" s="1">
        <v>14851</v>
      </c>
      <c r="E10" s="7">
        <v>23992</v>
      </c>
      <c r="F10" s="1">
        <v>14.64</v>
      </c>
      <c r="G10" s="24">
        <v>23.65</v>
      </c>
    </row>
    <row r="11" spans="1:7" ht="14.4" thickBot="1" x14ac:dyDescent="0.3">
      <c r="A11" s="22" t="s">
        <v>0</v>
      </c>
      <c r="B11" s="8">
        <v>2024</v>
      </c>
      <c r="C11" s="9">
        <v>109913</v>
      </c>
      <c r="D11" s="9">
        <v>15702</v>
      </c>
      <c r="E11" s="9">
        <v>25685</v>
      </c>
      <c r="F11" s="10">
        <v>14.29</v>
      </c>
      <c r="G11" s="25">
        <v>23.37</v>
      </c>
    </row>
    <row r="12" spans="1:7" x14ac:dyDescent="0.25">
      <c r="A12" s="20" t="s">
        <v>1</v>
      </c>
      <c r="B12" s="5">
        <v>2019</v>
      </c>
      <c r="C12" s="6">
        <v>82675</v>
      </c>
      <c r="D12" s="6">
        <v>15404</v>
      </c>
      <c r="E12" s="6">
        <v>23046</v>
      </c>
      <c r="F12" s="2">
        <v>18.63</v>
      </c>
      <c r="G12" s="23">
        <v>27.88</v>
      </c>
    </row>
    <row r="13" spans="1:7" x14ac:dyDescent="0.25">
      <c r="A13" s="21" t="s">
        <v>1</v>
      </c>
      <c r="B13" s="4">
        <v>2020</v>
      </c>
      <c r="C13" s="7">
        <v>90791</v>
      </c>
      <c r="D13" s="7">
        <v>16594</v>
      </c>
      <c r="E13" s="7">
        <v>25025</v>
      </c>
      <c r="F13" s="1">
        <v>18.28</v>
      </c>
      <c r="G13" s="24">
        <v>27.56</v>
      </c>
    </row>
    <row r="14" spans="1:7" x14ac:dyDescent="0.25">
      <c r="A14" s="21" t="s">
        <v>1</v>
      </c>
      <c r="B14" s="4">
        <v>2021</v>
      </c>
      <c r="C14" s="7">
        <v>100472</v>
      </c>
      <c r="D14" s="7">
        <v>19351</v>
      </c>
      <c r="E14" s="7">
        <v>30018</v>
      </c>
      <c r="F14" s="1">
        <v>19.260000000000002</v>
      </c>
      <c r="G14" s="24">
        <v>29.88</v>
      </c>
    </row>
    <row r="15" spans="1:7" x14ac:dyDescent="0.25">
      <c r="A15" s="21" t="s">
        <v>1</v>
      </c>
      <c r="B15" s="4">
        <v>2022</v>
      </c>
      <c r="C15" s="7">
        <v>121641</v>
      </c>
      <c r="D15" s="7">
        <v>22110</v>
      </c>
      <c r="E15" s="7">
        <v>33750</v>
      </c>
      <c r="F15" s="1">
        <v>18.18</v>
      </c>
      <c r="G15" s="24">
        <v>27.75</v>
      </c>
    </row>
    <row r="16" spans="1:7" x14ac:dyDescent="0.25">
      <c r="A16" s="21" t="s">
        <v>1</v>
      </c>
      <c r="B16" s="4">
        <v>2023</v>
      </c>
      <c r="C16" s="7">
        <v>146767</v>
      </c>
      <c r="D16" s="7">
        <v>24095</v>
      </c>
      <c r="E16" s="7">
        <v>37818</v>
      </c>
      <c r="F16" s="1">
        <v>16.420000000000002</v>
      </c>
      <c r="G16" s="24">
        <v>25.77</v>
      </c>
    </row>
    <row r="17" spans="1:7" ht="14.4" thickBot="1" x14ac:dyDescent="0.3">
      <c r="A17" s="22" t="s">
        <v>1</v>
      </c>
      <c r="B17" s="8">
        <v>2024</v>
      </c>
      <c r="C17" s="9">
        <v>153670</v>
      </c>
      <c r="D17" s="9">
        <v>26233</v>
      </c>
      <c r="E17" s="9">
        <v>41121</v>
      </c>
      <c r="F17" s="10">
        <v>17.07</v>
      </c>
      <c r="G17" s="25">
        <v>26.76</v>
      </c>
    </row>
    <row r="18" spans="1:7" x14ac:dyDescent="0.25">
      <c r="A18" s="20" t="s">
        <v>2</v>
      </c>
      <c r="B18" s="5">
        <v>2019</v>
      </c>
      <c r="C18" s="6">
        <v>146463</v>
      </c>
      <c r="D18" s="6">
        <v>31472</v>
      </c>
      <c r="E18" s="6">
        <v>43727</v>
      </c>
      <c r="F18" s="2">
        <v>21.49</v>
      </c>
      <c r="G18" s="23">
        <v>29.86</v>
      </c>
    </row>
    <row r="19" spans="1:7" x14ac:dyDescent="0.25">
      <c r="A19" s="21" t="s">
        <v>2</v>
      </c>
      <c r="B19" s="4">
        <v>2020</v>
      </c>
      <c r="C19" s="7">
        <v>156949</v>
      </c>
      <c r="D19" s="7">
        <v>32340</v>
      </c>
      <c r="E19" s="7">
        <v>46594</v>
      </c>
      <c r="F19" s="1">
        <v>20.61</v>
      </c>
      <c r="G19" s="24">
        <v>29.69</v>
      </c>
    </row>
    <row r="20" spans="1:7" x14ac:dyDescent="0.25">
      <c r="A20" s="21" t="s">
        <v>2</v>
      </c>
      <c r="B20" s="4">
        <v>2021</v>
      </c>
      <c r="C20" s="7">
        <v>164177</v>
      </c>
      <c r="D20" s="7">
        <v>32430</v>
      </c>
      <c r="E20" s="7">
        <v>48330</v>
      </c>
      <c r="F20" s="1">
        <v>19.75</v>
      </c>
      <c r="G20" s="24">
        <v>29.44</v>
      </c>
    </row>
    <row r="21" spans="1:7" x14ac:dyDescent="0.25">
      <c r="A21" s="21" t="s">
        <v>2</v>
      </c>
      <c r="B21" s="4">
        <v>2022</v>
      </c>
      <c r="C21" s="7">
        <v>191754</v>
      </c>
      <c r="D21" s="7">
        <v>38327</v>
      </c>
      <c r="E21" s="7">
        <v>56953</v>
      </c>
      <c r="F21" s="1">
        <v>19.989999999999998</v>
      </c>
      <c r="G21" s="24">
        <v>29.7</v>
      </c>
    </row>
    <row r="22" spans="1:7" x14ac:dyDescent="0.25">
      <c r="A22" s="21" t="s">
        <v>2</v>
      </c>
      <c r="B22" s="4">
        <v>2023</v>
      </c>
      <c r="C22" s="7">
        <v>225458</v>
      </c>
      <c r="D22" s="7">
        <v>42147</v>
      </c>
      <c r="E22" s="7">
        <v>62552</v>
      </c>
      <c r="F22" s="1">
        <v>18.690000000000001</v>
      </c>
      <c r="G22" s="24">
        <v>27.74</v>
      </c>
    </row>
    <row r="23" spans="1:7" ht="14.4" thickBot="1" x14ac:dyDescent="0.3">
      <c r="A23" s="29" t="s">
        <v>2</v>
      </c>
      <c r="B23" s="14">
        <v>2024</v>
      </c>
      <c r="C23" s="15">
        <v>240893</v>
      </c>
      <c r="D23" s="15">
        <v>45908</v>
      </c>
      <c r="E23" s="15">
        <v>67569</v>
      </c>
      <c r="F23" s="16">
        <v>19.059999999999999</v>
      </c>
      <c r="G23" s="30">
        <v>28.05</v>
      </c>
    </row>
    <row r="24" spans="1:7" x14ac:dyDescent="0.25">
      <c r="A24" s="34" t="s">
        <v>3</v>
      </c>
      <c r="B24" s="17">
        <v>2019</v>
      </c>
      <c r="C24" s="18">
        <v>34742.1</v>
      </c>
      <c r="D24" s="18">
        <v>4297.6000000000004</v>
      </c>
      <c r="E24" s="18">
        <v>6814.4</v>
      </c>
      <c r="F24" s="19">
        <v>12.37</v>
      </c>
      <c r="G24" s="35">
        <v>19.61</v>
      </c>
    </row>
    <row r="25" spans="1:7" x14ac:dyDescent="0.25">
      <c r="A25" s="21" t="s">
        <v>3</v>
      </c>
      <c r="B25" s="4">
        <v>2020</v>
      </c>
      <c r="C25" s="7">
        <v>36867.699999999997</v>
      </c>
      <c r="D25" s="7">
        <v>4033</v>
      </c>
      <c r="E25" s="7">
        <v>6831.1</v>
      </c>
      <c r="F25" s="1">
        <v>10.94</v>
      </c>
      <c r="G25" s="24">
        <v>18.53</v>
      </c>
    </row>
    <row r="26" spans="1:7" x14ac:dyDescent="0.25">
      <c r="A26" s="21" t="s">
        <v>3</v>
      </c>
      <c r="B26" s="4">
        <v>2021</v>
      </c>
      <c r="C26" s="7">
        <v>37855.1</v>
      </c>
      <c r="D26" s="7">
        <v>4428</v>
      </c>
      <c r="E26" s="7">
        <v>7659.6</v>
      </c>
      <c r="F26" s="1">
        <v>11.7</v>
      </c>
      <c r="G26" s="24">
        <v>20.23</v>
      </c>
    </row>
    <row r="27" spans="1:7" x14ac:dyDescent="0.25">
      <c r="A27" s="21" t="s">
        <v>3</v>
      </c>
      <c r="B27" s="4">
        <v>2022</v>
      </c>
      <c r="C27" s="7">
        <v>44646</v>
      </c>
      <c r="D27" s="7">
        <v>5566.1</v>
      </c>
      <c r="E27" s="7">
        <v>9071.1</v>
      </c>
      <c r="F27" s="1">
        <v>12.47</v>
      </c>
      <c r="G27" s="24">
        <v>20.32</v>
      </c>
    </row>
    <row r="28" spans="1:7" x14ac:dyDescent="0.25">
      <c r="A28" s="21" t="s">
        <v>3</v>
      </c>
      <c r="B28" s="4">
        <v>2023</v>
      </c>
      <c r="C28" s="7">
        <v>53290.2</v>
      </c>
      <c r="D28" s="7">
        <v>4831.3</v>
      </c>
      <c r="E28" s="7">
        <v>8702.1</v>
      </c>
      <c r="F28" s="1">
        <v>9.07</v>
      </c>
      <c r="G28" s="24">
        <v>16.329999999999998</v>
      </c>
    </row>
    <row r="29" spans="1:7" ht="14.4" thickBot="1" x14ac:dyDescent="0.3">
      <c r="A29" s="29" t="s">
        <v>3</v>
      </c>
      <c r="B29" s="14">
        <v>2024</v>
      </c>
      <c r="C29" s="15">
        <v>51995.5</v>
      </c>
      <c r="D29" s="15">
        <v>2357.8000000000002</v>
      </c>
      <c r="E29" s="15">
        <v>5394.7</v>
      </c>
      <c r="F29" s="16">
        <v>4.53</v>
      </c>
      <c r="G29" s="30">
        <v>10.38</v>
      </c>
    </row>
    <row r="30" spans="1:7" x14ac:dyDescent="0.25">
      <c r="A30" s="34" t="s">
        <v>4</v>
      </c>
      <c r="B30" s="17">
        <v>2019</v>
      </c>
      <c r="C30" s="18">
        <v>59018.9</v>
      </c>
      <c r="D30" s="18">
        <v>9003.7000000000007</v>
      </c>
      <c r="E30" s="18">
        <v>14212.2</v>
      </c>
      <c r="F30" s="19">
        <v>15.26</v>
      </c>
      <c r="G30" s="35">
        <v>24.08</v>
      </c>
    </row>
    <row r="31" spans="1:7" x14ac:dyDescent="0.25">
      <c r="A31" s="21" t="s">
        <v>4</v>
      </c>
      <c r="B31" s="4">
        <v>2020</v>
      </c>
      <c r="C31" s="7">
        <v>61137.599999999999</v>
      </c>
      <c r="D31" s="7">
        <v>9722.2999999999993</v>
      </c>
      <c r="E31" s="7">
        <v>15020.7</v>
      </c>
      <c r="F31" s="1">
        <v>15.9</v>
      </c>
      <c r="G31" s="24">
        <v>24.57</v>
      </c>
    </row>
    <row r="32" spans="1:7" x14ac:dyDescent="0.25">
      <c r="A32" s="21" t="s">
        <v>4</v>
      </c>
      <c r="B32" s="4">
        <v>2021</v>
      </c>
      <c r="C32" s="7">
        <v>61934.9</v>
      </c>
      <c r="D32" s="7">
        <v>10796.4</v>
      </c>
      <c r="E32" s="7">
        <v>17103.5</v>
      </c>
      <c r="F32" s="1">
        <v>17.43</v>
      </c>
      <c r="G32" s="24">
        <v>27.62</v>
      </c>
    </row>
    <row r="33" spans="1:7" x14ac:dyDescent="0.25">
      <c r="A33" s="21" t="s">
        <v>4</v>
      </c>
      <c r="B33" s="4">
        <v>2022</v>
      </c>
      <c r="C33" s="7">
        <v>79312</v>
      </c>
      <c r="D33" s="7">
        <v>12229.6</v>
      </c>
      <c r="E33" s="7">
        <v>18737.3</v>
      </c>
      <c r="F33" s="1">
        <v>15.42</v>
      </c>
      <c r="G33" s="24">
        <v>23.62</v>
      </c>
    </row>
    <row r="34" spans="1:7" x14ac:dyDescent="0.25">
      <c r="A34" s="21" t="s">
        <v>4</v>
      </c>
      <c r="B34" s="4">
        <v>2023</v>
      </c>
      <c r="C34" s="7">
        <v>90487.6</v>
      </c>
      <c r="D34" s="7">
        <v>11350</v>
      </c>
      <c r="E34" s="7">
        <v>19097.099999999999</v>
      </c>
      <c r="F34" s="1">
        <v>12.54</v>
      </c>
      <c r="G34" s="24">
        <v>21.1</v>
      </c>
    </row>
    <row r="35" spans="1:7" x14ac:dyDescent="0.25">
      <c r="A35" s="29" t="s">
        <v>4</v>
      </c>
      <c r="B35" s="14">
        <v>2024</v>
      </c>
      <c r="C35" s="15">
        <v>89760.3</v>
      </c>
      <c r="D35" s="15">
        <v>11045.2</v>
      </c>
      <c r="E35" s="15">
        <v>19316.400000000001</v>
      </c>
      <c r="F35" s="16">
        <v>12.31</v>
      </c>
      <c r="G35" s="30">
        <v>21.52</v>
      </c>
    </row>
  </sheetData>
  <mergeCells count="2">
    <mergeCell ref="A1:G2"/>
    <mergeCell ref="A3:G4"/>
  </mergeCells>
  <conditionalFormatting sqref="F6:F35">
    <cfRule type="cellIs" dxfId="24" priority="1" operator="lessThan">
      <formula>15</formula>
    </cfRule>
    <cfRule type="cellIs" dxfId="23" priority="2" operator="greaterThan">
      <formula>25</formula>
    </cfRule>
    <cfRule type="cellIs" dxfId="22" priority="3" operator="between">
      <formula>15</formula>
      <formula>25</formula>
    </cfRule>
  </conditionalFormatting>
  <conditionalFormatting sqref="G6:G35">
    <cfRule type="cellIs" dxfId="21" priority="4" operator="greaterThan">
      <formula>20</formula>
    </cfRule>
    <cfRule type="cellIs" dxfId="20" priority="5" operator="between">
      <formula>10</formula>
      <formula>20</formula>
    </cfRule>
  </conditionalFormatting>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8F012D-B641-455C-9521-3DEA618561D8}">
  <sheetPr>
    <tabColor rgb="FF92D050"/>
  </sheetPr>
  <dimension ref="A1:D35"/>
  <sheetViews>
    <sheetView showGridLines="0" workbookViewId="0">
      <pane ySplit="5" topLeftCell="A6" activePane="bottomLeft" state="frozen"/>
      <selection pane="bottomLeft" sqref="A1:D2"/>
    </sheetView>
  </sheetViews>
  <sheetFormatPr defaultRowHeight="13.8" x14ac:dyDescent="0.25"/>
  <cols>
    <col min="1" max="1" width="13.44140625" bestFit="1" customWidth="1"/>
    <col min="3" max="3" width="9.5546875" bestFit="1" customWidth="1"/>
    <col min="4" max="4" width="30.21875" customWidth="1"/>
  </cols>
  <sheetData>
    <row r="1" spans="1:4" x14ac:dyDescent="0.25">
      <c r="A1" s="40" t="s">
        <v>32</v>
      </c>
      <c r="B1" s="40"/>
      <c r="C1" s="40"/>
      <c r="D1" s="40"/>
    </row>
    <row r="2" spans="1:4" x14ac:dyDescent="0.25">
      <c r="A2" s="40"/>
      <c r="B2" s="40"/>
      <c r="C2" s="40"/>
      <c r="D2" s="40"/>
    </row>
    <row r="3" spans="1:4" x14ac:dyDescent="0.25">
      <c r="A3" s="44" t="s">
        <v>33</v>
      </c>
      <c r="B3" s="44"/>
      <c r="C3" s="44"/>
      <c r="D3" s="44"/>
    </row>
    <row r="4" spans="1:4" x14ac:dyDescent="0.25">
      <c r="A4" s="44"/>
      <c r="B4" s="44"/>
      <c r="C4" s="44"/>
      <c r="D4" s="44"/>
    </row>
    <row r="5" spans="1:4" ht="15.6" thickBot="1" x14ac:dyDescent="0.35">
      <c r="A5" s="26" t="s">
        <v>8</v>
      </c>
      <c r="B5" s="27" t="s">
        <v>9</v>
      </c>
      <c r="C5" s="27" t="s">
        <v>34</v>
      </c>
      <c r="D5" s="28" t="s">
        <v>35</v>
      </c>
    </row>
    <row r="6" spans="1:4" x14ac:dyDescent="0.25">
      <c r="A6" s="20" t="s">
        <v>2</v>
      </c>
      <c r="B6" s="5">
        <v>2019</v>
      </c>
      <c r="C6" s="6">
        <v>146463</v>
      </c>
      <c r="D6" s="23">
        <v>38.21</v>
      </c>
    </row>
    <row r="7" spans="1:4" x14ac:dyDescent="0.25">
      <c r="A7" s="21" t="s">
        <v>2</v>
      </c>
      <c r="B7" s="4">
        <v>2020</v>
      </c>
      <c r="C7" s="7">
        <v>156949</v>
      </c>
      <c r="D7" s="24">
        <v>37.69</v>
      </c>
    </row>
    <row r="8" spans="1:4" x14ac:dyDescent="0.25">
      <c r="A8" s="21" t="s">
        <v>2</v>
      </c>
      <c r="B8" s="4">
        <v>2021</v>
      </c>
      <c r="C8" s="7">
        <v>164177</v>
      </c>
      <c r="D8" s="24">
        <v>37.33</v>
      </c>
    </row>
    <row r="9" spans="1:4" x14ac:dyDescent="0.25">
      <c r="A9" s="21" t="s">
        <v>2</v>
      </c>
      <c r="B9" s="4">
        <v>2024</v>
      </c>
      <c r="C9" s="7">
        <v>240893</v>
      </c>
      <c r="D9" s="24">
        <v>37.28</v>
      </c>
    </row>
    <row r="10" spans="1:4" x14ac:dyDescent="0.25">
      <c r="A10" s="21" t="s">
        <v>2</v>
      </c>
      <c r="B10" s="4">
        <v>2022</v>
      </c>
      <c r="C10" s="7">
        <v>191754</v>
      </c>
      <c r="D10" s="24">
        <v>36.659999999999997</v>
      </c>
    </row>
    <row r="11" spans="1:4" ht="14.4" thickBot="1" x14ac:dyDescent="0.3">
      <c r="A11" s="22" t="s">
        <v>2</v>
      </c>
      <c r="B11" s="8">
        <v>2023</v>
      </c>
      <c r="C11" s="9">
        <v>225458</v>
      </c>
      <c r="D11" s="25">
        <v>36.51</v>
      </c>
    </row>
    <row r="12" spans="1:4" x14ac:dyDescent="0.25">
      <c r="A12" s="20" t="s">
        <v>1</v>
      </c>
      <c r="B12" s="5">
        <v>2024</v>
      </c>
      <c r="C12" s="6">
        <v>153670</v>
      </c>
      <c r="D12" s="23">
        <v>23.78</v>
      </c>
    </row>
    <row r="13" spans="1:4" x14ac:dyDescent="0.25">
      <c r="A13" s="21" t="s">
        <v>1</v>
      </c>
      <c r="B13" s="4">
        <v>2023</v>
      </c>
      <c r="C13" s="7">
        <v>146767</v>
      </c>
      <c r="D13" s="24">
        <v>23.77</v>
      </c>
    </row>
    <row r="14" spans="1:4" x14ac:dyDescent="0.25">
      <c r="A14" s="21" t="s">
        <v>1</v>
      </c>
      <c r="B14" s="4">
        <v>2022</v>
      </c>
      <c r="C14" s="7">
        <v>121641</v>
      </c>
      <c r="D14" s="24">
        <v>23.26</v>
      </c>
    </row>
    <row r="15" spans="1:4" x14ac:dyDescent="0.25">
      <c r="A15" s="21" t="s">
        <v>1</v>
      </c>
      <c r="B15" s="4">
        <v>2021</v>
      </c>
      <c r="C15" s="7">
        <v>100472</v>
      </c>
      <c r="D15" s="24">
        <v>22.84</v>
      </c>
    </row>
    <row r="16" spans="1:4" x14ac:dyDescent="0.25">
      <c r="A16" s="21" t="s">
        <v>1</v>
      </c>
      <c r="B16" s="4">
        <v>2020</v>
      </c>
      <c r="C16" s="7">
        <v>90791</v>
      </c>
      <c r="D16" s="24">
        <v>21.8</v>
      </c>
    </row>
    <row r="17" spans="1:4" ht="14.4" thickBot="1" x14ac:dyDescent="0.3">
      <c r="A17" s="22" t="s">
        <v>1</v>
      </c>
      <c r="B17" s="8">
        <v>2019</v>
      </c>
      <c r="C17" s="9">
        <v>82675</v>
      </c>
      <c r="D17" s="25">
        <v>21.57</v>
      </c>
    </row>
    <row r="18" spans="1:4" x14ac:dyDescent="0.25">
      <c r="A18" s="20" t="s">
        <v>0</v>
      </c>
      <c r="B18" s="5">
        <v>2021</v>
      </c>
      <c r="C18" s="6">
        <v>75379</v>
      </c>
      <c r="D18" s="23">
        <v>17.14</v>
      </c>
    </row>
    <row r="19" spans="1:4" x14ac:dyDescent="0.25">
      <c r="A19" s="21" t="s">
        <v>0</v>
      </c>
      <c r="B19" s="4">
        <v>2024</v>
      </c>
      <c r="C19" s="7">
        <v>109913</v>
      </c>
      <c r="D19" s="24">
        <v>17.010000000000002</v>
      </c>
    </row>
    <row r="20" spans="1:4" x14ac:dyDescent="0.25">
      <c r="A20" s="21" t="s">
        <v>0</v>
      </c>
      <c r="B20" s="4">
        <v>2020</v>
      </c>
      <c r="C20" s="7">
        <v>70676</v>
      </c>
      <c r="D20" s="24">
        <v>16.97</v>
      </c>
    </row>
    <row r="21" spans="1:4" x14ac:dyDescent="0.25">
      <c r="A21" s="21" t="s">
        <v>0</v>
      </c>
      <c r="B21" s="4">
        <v>2023</v>
      </c>
      <c r="C21" s="7">
        <v>101456</v>
      </c>
      <c r="D21" s="24">
        <v>16.43</v>
      </c>
    </row>
    <row r="22" spans="1:4" x14ac:dyDescent="0.25">
      <c r="A22" s="21" t="s">
        <v>0</v>
      </c>
      <c r="B22" s="4">
        <v>2022</v>
      </c>
      <c r="C22" s="7">
        <v>85651</v>
      </c>
      <c r="D22" s="24">
        <v>16.38</v>
      </c>
    </row>
    <row r="23" spans="1:4" ht="14.4" thickBot="1" x14ac:dyDescent="0.3">
      <c r="A23" s="22" t="s">
        <v>0</v>
      </c>
      <c r="B23" s="8">
        <v>2019</v>
      </c>
      <c r="C23" s="9">
        <v>60427</v>
      </c>
      <c r="D23" s="25">
        <v>15.76</v>
      </c>
    </row>
    <row r="24" spans="1:4" x14ac:dyDescent="0.25">
      <c r="A24" s="20" t="s">
        <v>4</v>
      </c>
      <c r="B24" s="5">
        <v>2019</v>
      </c>
      <c r="C24" s="6">
        <v>59018.9</v>
      </c>
      <c r="D24" s="23">
        <v>15.4</v>
      </c>
    </row>
    <row r="25" spans="1:4" x14ac:dyDescent="0.25">
      <c r="A25" s="21" t="s">
        <v>4</v>
      </c>
      <c r="B25" s="4">
        <v>2022</v>
      </c>
      <c r="C25" s="7">
        <v>79312</v>
      </c>
      <c r="D25" s="24">
        <v>15.16</v>
      </c>
    </row>
    <row r="26" spans="1:4" x14ac:dyDescent="0.25">
      <c r="A26" s="21" t="s">
        <v>4</v>
      </c>
      <c r="B26" s="4">
        <v>2020</v>
      </c>
      <c r="C26" s="7">
        <v>61137.599999999999</v>
      </c>
      <c r="D26" s="24">
        <v>14.68</v>
      </c>
    </row>
    <row r="27" spans="1:4" x14ac:dyDescent="0.25">
      <c r="A27" s="21" t="s">
        <v>4</v>
      </c>
      <c r="B27" s="4">
        <v>2023</v>
      </c>
      <c r="C27" s="7">
        <v>90487.6</v>
      </c>
      <c r="D27" s="24">
        <v>14.65</v>
      </c>
    </row>
    <row r="28" spans="1:4" x14ac:dyDescent="0.25">
      <c r="A28" s="21" t="s">
        <v>4</v>
      </c>
      <c r="B28" s="4">
        <v>2021</v>
      </c>
      <c r="C28" s="7">
        <v>61934.9</v>
      </c>
      <c r="D28" s="24">
        <v>14.08</v>
      </c>
    </row>
    <row r="29" spans="1:4" ht="14.4" thickBot="1" x14ac:dyDescent="0.3">
      <c r="A29" s="22" t="s">
        <v>4</v>
      </c>
      <c r="B29" s="8">
        <v>2024</v>
      </c>
      <c r="C29" s="9">
        <v>89760.3</v>
      </c>
      <c r="D29" s="25">
        <v>13.89</v>
      </c>
    </row>
    <row r="30" spans="1:4" x14ac:dyDescent="0.25">
      <c r="A30" s="20" t="s">
        <v>3</v>
      </c>
      <c r="B30" s="5">
        <v>2019</v>
      </c>
      <c r="C30" s="6">
        <v>34742.1</v>
      </c>
      <c r="D30" s="23">
        <v>9.06</v>
      </c>
    </row>
    <row r="31" spans="1:4" x14ac:dyDescent="0.25">
      <c r="A31" s="21" t="s">
        <v>3</v>
      </c>
      <c r="B31" s="4">
        <v>2020</v>
      </c>
      <c r="C31" s="7">
        <v>36867.699999999997</v>
      </c>
      <c r="D31" s="24">
        <v>8.85</v>
      </c>
    </row>
    <row r="32" spans="1:4" x14ac:dyDescent="0.25">
      <c r="A32" s="21" t="s">
        <v>3</v>
      </c>
      <c r="B32" s="4">
        <v>2023</v>
      </c>
      <c r="C32" s="7">
        <v>53290.2</v>
      </c>
      <c r="D32" s="24">
        <v>8.6300000000000008</v>
      </c>
    </row>
    <row r="33" spans="1:4" x14ac:dyDescent="0.25">
      <c r="A33" s="21" t="s">
        <v>3</v>
      </c>
      <c r="B33" s="4">
        <v>2021</v>
      </c>
      <c r="C33" s="7">
        <v>37855.1</v>
      </c>
      <c r="D33" s="24">
        <v>8.61</v>
      </c>
    </row>
    <row r="34" spans="1:4" x14ac:dyDescent="0.25">
      <c r="A34" s="21" t="s">
        <v>3</v>
      </c>
      <c r="B34" s="4">
        <v>2022</v>
      </c>
      <c r="C34" s="7">
        <v>44646</v>
      </c>
      <c r="D34" s="24">
        <v>8.5399999999999991</v>
      </c>
    </row>
    <row r="35" spans="1:4" x14ac:dyDescent="0.25">
      <c r="A35" s="29" t="s">
        <v>3</v>
      </c>
      <c r="B35" s="14">
        <v>2024</v>
      </c>
      <c r="C35" s="15">
        <v>51995.5</v>
      </c>
      <c r="D35" s="30">
        <v>8.0500000000000007</v>
      </c>
    </row>
  </sheetData>
  <sortState xmlns:xlrd2="http://schemas.microsoft.com/office/spreadsheetml/2017/richdata2" ref="A6:D35">
    <sortCondition descending="1" ref="D5:D35"/>
  </sortState>
  <mergeCells count="2">
    <mergeCell ref="A1:D2"/>
    <mergeCell ref="A3:D4"/>
  </mergeCells>
  <conditionalFormatting sqref="D6:D35">
    <cfRule type="cellIs" dxfId="19" priority="1" operator="lessThan">
      <formula>15</formula>
    </cfRule>
    <cfRule type="cellIs" dxfId="18" priority="2" operator="between">
      <formula>15</formula>
      <formula>25</formula>
    </cfRule>
    <cfRule type="cellIs" dxfId="17" priority="3" operator="greaterThan">
      <formula>25</formula>
    </cfRule>
  </conditionalFormatting>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BEF58-50FC-46DC-A7F5-BBCAEF09A155}">
  <sheetPr>
    <tabColor rgb="FF92D050"/>
  </sheetPr>
  <dimension ref="A1:J35"/>
  <sheetViews>
    <sheetView showGridLines="0" workbookViewId="0">
      <pane ySplit="5" topLeftCell="A17" activePane="bottomLeft" state="frozen"/>
      <selection pane="bottomLeft" sqref="A1:J2"/>
    </sheetView>
  </sheetViews>
  <sheetFormatPr defaultRowHeight="13.8" x14ac:dyDescent="0.25"/>
  <cols>
    <col min="1" max="1" width="13.44140625" bestFit="1" customWidth="1"/>
    <col min="3" max="3" width="21.44140625" customWidth="1"/>
    <col min="4" max="4" width="20.44140625" customWidth="1"/>
    <col min="5" max="5" width="19.77734375" customWidth="1"/>
    <col min="6" max="6" width="22" customWidth="1"/>
    <col min="7" max="7" width="16.21875" customWidth="1"/>
    <col min="8" max="9" width="10.109375" customWidth="1"/>
    <col min="10" max="10" width="16.88671875" customWidth="1"/>
  </cols>
  <sheetData>
    <row r="1" spans="1:10" ht="13.8" customHeight="1" x14ac:dyDescent="0.25">
      <c r="A1" s="40" t="s">
        <v>23</v>
      </c>
      <c r="B1" s="40"/>
      <c r="C1" s="40"/>
      <c r="D1" s="40"/>
      <c r="E1" s="40"/>
      <c r="F1" s="40"/>
      <c r="G1" s="40"/>
      <c r="H1" s="40"/>
      <c r="I1" s="40"/>
      <c r="J1" s="40"/>
    </row>
    <row r="2" spans="1:10" x14ac:dyDescent="0.25">
      <c r="A2" s="40"/>
      <c r="B2" s="40"/>
      <c r="C2" s="40"/>
      <c r="D2" s="40"/>
      <c r="E2" s="40"/>
      <c r="F2" s="40"/>
      <c r="G2" s="40"/>
      <c r="H2" s="40"/>
      <c r="I2" s="40"/>
      <c r="J2" s="40"/>
    </row>
    <row r="3" spans="1:10" ht="13.8" customHeight="1" x14ac:dyDescent="0.25">
      <c r="A3" s="42" t="s">
        <v>24</v>
      </c>
      <c r="B3" s="42"/>
      <c r="C3" s="42"/>
      <c r="D3" s="42"/>
      <c r="E3" s="42"/>
      <c r="F3" s="42"/>
      <c r="G3" s="42"/>
      <c r="H3" s="42"/>
      <c r="I3" s="42"/>
      <c r="J3" s="42"/>
    </row>
    <row r="4" spans="1:10" x14ac:dyDescent="0.25">
      <c r="A4" s="42"/>
      <c r="B4" s="42"/>
      <c r="C4" s="42"/>
      <c r="D4" s="42"/>
      <c r="E4" s="42"/>
      <c r="F4" s="42"/>
      <c r="G4" s="42"/>
      <c r="H4" s="42"/>
      <c r="I4" s="42"/>
      <c r="J4" s="42"/>
    </row>
    <row r="5" spans="1:10" ht="45.6" thickBot="1" x14ac:dyDescent="0.3">
      <c r="A5" s="31" t="s">
        <v>8</v>
      </c>
      <c r="B5" s="32" t="s">
        <v>9</v>
      </c>
      <c r="C5" s="32" t="s">
        <v>31</v>
      </c>
      <c r="D5" s="32" t="s">
        <v>25</v>
      </c>
      <c r="E5" s="32" t="s">
        <v>10</v>
      </c>
      <c r="F5" s="32" t="s">
        <v>26</v>
      </c>
      <c r="G5" s="32" t="s">
        <v>27</v>
      </c>
      <c r="H5" s="32" t="s">
        <v>28</v>
      </c>
      <c r="I5" s="32" t="s">
        <v>29</v>
      </c>
      <c r="J5" s="36" t="s">
        <v>30</v>
      </c>
    </row>
    <row r="6" spans="1:10" x14ac:dyDescent="0.25">
      <c r="A6" s="20" t="s">
        <v>0</v>
      </c>
      <c r="B6" s="5">
        <v>2019</v>
      </c>
      <c r="C6" s="6">
        <v>4195</v>
      </c>
      <c r="D6" s="6">
        <v>41366</v>
      </c>
      <c r="E6" s="6">
        <v>10120</v>
      </c>
      <c r="F6" s="6">
        <v>58349</v>
      </c>
      <c r="G6" s="2">
        <v>0.1</v>
      </c>
      <c r="H6" s="2">
        <v>24.46</v>
      </c>
      <c r="I6" s="2">
        <v>17.34</v>
      </c>
      <c r="J6" s="24">
        <v>1.04</v>
      </c>
    </row>
    <row r="7" spans="1:10" x14ac:dyDescent="0.25">
      <c r="A7" s="21" t="s">
        <v>0</v>
      </c>
      <c r="B7" s="4">
        <v>2020</v>
      </c>
      <c r="C7" s="7">
        <v>7986</v>
      </c>
      <c r="D7" s="7">
        <v>51267</v>
      </c>
      <c r="E7" s="7">
        <v>11057</v>
      </c>
      <c r="F7" s="7">
        <v>82819</v>
      </c>
      <c r="G7" s="1">
        <v>0.16</v>
      </c>
      <c r="H7" s="1">
        <v>21.57</v>
      </c>
      <c r="I7" s="1">
        <v>13.35</v>
      </c>
      <c r="J7" s="24">
        <v>0.85</v>
      </c>
    </row>
    <row r="8" spans="1:10" x14ac:dyDescent="0.25">
      <c r="A8" s="21" t="s">
        <v>0</v>
      </c>
      <c r="B8" s="4">
        <v>2021</v>
      </c>
      <c r="C8" s="7">
        <v>6864</v>
      </c>
      <c r="D8" s="7">
        <v>59913</v>
      </c>
      <c r="E8" s="7">
        <v>11145</v>
      </c>
      <c r="F8" s="7">
        <v>86047</v>
      </c>
      <c r="G8" s="1">
        <v>0.11</v>
      </c>
      <c r="H8" s="1">
        <v>18.600000000000001</v>
      </c>
      <c r="I8" s="1">
        <v>12.95</v>
      </c>
      <c r="J8" s="24">
        <v>0.88</v>
      </c>
    </row>
    <row r="9" spans="1:10" x14ac:dyDescent="0.25">
      <c r="A9" s="21" t="s">
        <v>0</v>
      </c>
      <c r="B9" s="4">
        <v>2022</v>
      </c>
      <c r="C9" s="7">
        <v>6343</v>
      </c>
      <c r="D9" s="7">
        <v>61914</v>
      </c>
      <c r="E9" s="7">
        <v>13499</v>
      </c>
      <c r="F9" s="7">
        <v>88921</v>
      </c>
      <c r="G9" s="1">
        <v>0.1</v>
      </c>
      <c r="H9" s="1">
        <v>21.8</v>
      </c>
      <c r="I9" s="1">
        <v>15.18</v>
      </c>
      <c r="J9" s="24">
        <v>0.96</v>
      </c>
    </row>
    <row r="10" spans="1:10" x14ac:dyDescent="0.25">
      <c r="A10" s="21" t="s">
        <v>0</v>
      </c>
      <c r="B10" s="4">
        <v>2023</v>
      </c>
      <c r="C10" s="7">
        <v>4794</v>
      </c>
      <c r="D10" s="7">
        <v>65405</v>
      </c>
      <c r="E10" s="7">
        <v>14851</v>
      </c>
      <c r="F10" s="7">
        <v>93250</v>
      </c>
      <c r="G10" s="1">
        <v>7.0000000000000007E-2</v>
      </c>
      <c r="H10" s="1">
        <v>22.71</v>
      </c>
      <c r="I10" s="1">
        <v>15.93</v>
      </c>
      <c r="J10" s="24">
        <v>1.0900000000000001</v>
      </c>
    </row>
    <row r="11" spans="1:10" ht="14.4" thickBot="1" x14ac:dyDescent="0.3">
      <c r="A11" s="22" t="s">
        <v>0</v>
      </c>
      <c r="B11" s="8">
        <v>2024</v>
      </c>
      <c r="C11" s="9">
        <v>5758</v>
      </c>
      <c r="D11" s="9">
        <v>68263</v>
      </c>
      <c r="E11" s="9">
        <v>15702</v>
      </c>
      <c r="F11" s="9">
        <v>99006</v>
      </c>
      <c r="G11" s="10">
        <v>0.08</v>
      </c>
      <c r="H11" s="10">
        <v>23</v>
      </c>
      <c r="I11" s="10">
        <v>15.86</v>
      </c>
      <c r="J11" s="24">
        <v>1.1100000000000001</v>
      </c>
    </row>
    <row r="12" spans="1:10" x14ac:dyDescent="0.25">
      <c r="A12" s="20" t="s">
        <v>1</v>
      </c>
      <c r="B12" s="5">
        <v>2019</v>
      </c>
      <c r="C12" s="6">
        <v>4500</v>
      </c>
      <c r="D12" s="6">
        <v>64948</v>
      </c>
      <c r="E12" s="6">
        <v>15404</v>
      </c>
      <c r="F12" s="6">
        <v>84066</v>
      </c>
      <c r="G12" s="2">
        <v>7.0000000000000007E-2</v>
      </c>
      <c r="H12" s="2">
        <v>23.72</v>
      </c>
      <c r="I12" s="2">
        <v>18.32</v>
      </c>
      <c r="J12" s="24">
        <v>0.98</v>
      </c>
    </row>
    <row r="13" spans="1:10" x14ac:dyDescent="0.25">
      <c r="A13" s="21" t="s">
        <v>1</v>
      </c>
      <c r="B13" s="4">
        <v>2020</v>
      </c>
      <c r="C13" s="7">
        <v>4633</v>
      </c>
      <c r="D13" s="7">
        <v>65450</v>
      </c>
      <c r="E13" s="7">
        <v>16594</v>
      </c>
      <c r="F13" s="7">
        <v>91800</v>
      </c>
      <c r="G13" s="1">
        <v>7.0000000000000007E-2</v>
      </c>
      <c r="H13" s="1">
        <v>25.35</v>
      </c>
      <c r="I13" s="1">
        <v>18.079999999999998</v>
      </c>
      <c r="J13" s="24">
        <v>0.99</v>
      </c>
    </row>
    <row r="14" spans="1:10" x14ac:dyDescent="0.25">
      <c r="A14" s="21" t="s">
        <v>1</v>
      </c>
      <c r="B14" s="4">
        <v>2021</v>
      </c>
      <c r="C14" s="7">
        <v>5325</v>
      </c>
      <c r="D14" s="7">
        <v>76351</v>
      </c>
      <c r="E14" s="7">
        <v>19351</v>
      </c>
      <c r="F14" s="7">
        <v>107511</v>
      </c>
      <c r="G14" s="1">
        <v>7.0000000000000007E-2</v>
      </c>
      <c r="H14" s="1">
        <v>25.34</v>
      </c>
      <c r="I14" s="1">
        <v>18</v>
      </c>
      <c r="J14" s="24">
        <v>0.93</v>
      </c>
    </row>
    <row r="15" spans="1:10" x14ac:dyDescent="0.25">
      <c r="A15" s="21" t="s">
        <v>1</v>
      </c>
      <c r="B15" s="4">
        <v>2022</v>
      </c>
      <c r="C15" s="7">
        <v>5474</v>
      </c>
      <c r="D15" s="7">
        <v>75350</v>
      </c>
      <c r="E15" s="7">
        <v>22110</v>
      </c>
      <c r="F15" s="7">
        <v>116729</v>
      </c>
      <c r="G15" s="1">
        <v>7.0000000000000007E-2</v>
      </c>
      <c r="H15" s="1">
        <v>29.34</v>
      </c>
      <c r="I15" s="1">
        <v>18.940000000000001</v>
      </c>
      <c r="J15" s="24">
        <v>1.04</v>
      </c>
    </row>
    <row r="16" spans="1:10" x14ac:dyDescent="0.25">
      <c r="A16" s="21" t="s">
        <v>1</v>
      </c>
      <c r="B16" s="4">
        <v>2023</v>
      </c>
      <c r="C16" s="7">
        <v>8299</v>
      </c>
      <c r="D16" s="7">
        <v>75407</v>
      </c>
      <c r="E16" s="7">
        <v>24095</v>
      </c>
      <c r="F16" s="7">
        <v>124596</v>
      </c>
      <c r="G16" s="1">
        <v>0.11</v>
      </c>
      <c r="H16" s="1">
        <v>31.95</v>
      </c>
      <c r="I16" s="1">
        <v>19.34</v>
      </c>
      <c r="J16" s="24">
        <v>1.18</v>
      </c>
    </row>
    <row r="17" spans="1:10" ht="14.4" thickBot="1" x14ac:dyDescent="0.3">
      <c r="A17" s="22" t="s">
        <v>1</v>
      </c>
      <c r="B17" s="8">
        <v>2024</v>
      </c>
      <c r="C17" s="9">
        <v>8359</v>
      </c>
      <c r="D17" s="9">
        <v>88116</v>
      </c>
      <c r="E17" s="9">
        <v>26233</v>
      </c>
      <c r="F17" s="9">
        <v>137360</v>
      </c>
      <c r="G17" s="10">
        <v>0.09</v>
      </c>
      <c r="H17" s="10">
        <v>29.77</v>
      </c>
      <c r="I17" s="10">
        <v>19.100000000000001</v>
      </c>
      <c r="J17" s="24">
        <v>1.1200000000000001</v>
      </c>
    </row>
    <row r="18" spans="1:10" x14ac:dyDescent="0.25">
      <c r="A18" s="20" t="s">
        <v>2</v>
      </c>
      <c r="B18" s="5">
        <v>2019</v>
      </c>
      <c r="C18" s="6">
        <v>62</v>
      </c>
      <c r="D18" s="6">
        <v>89446</v>
      </c>
      <c r="E18" s="6">
        <v>31472</v>
      </c>
      <c r="F18" s="6">
        <v>113901</v>
      </c>
      <c r="G18" s="2">
        <v>0</v>
      </c>
      <c r="H18" s="2">
        <v>35.19</v>
      </c>
      <c r="I18" s="2">
        <v>27.63</v>
      </c>
      <c r="J18" s="24">
        <v>1.29</v>
      </c>
    </row>
    <row r="19" spans="1:10" x14ac:dyDescent="0.25">
      <c r="A19" s="21" t="s">
        <v>2</v>
      </c>
      <c r="B19" s="4">
        <v>2020</v>
      </c>
      <c r="C19" s="7">
        <v>8174</v>
      </c>
      <c r="D19" s="7">
        <v>84126</v>
      </c>
      <c r="E19" s="7">
        <v>32340</v>
      </c>
      <c r="F19" s="7">
        <v>120127</v>
      </c>
      <c r="G19" s="1">
        <v>0.1</v>
      </c>
      <c r="H19" s="1">
        <v>38.44</v>
      </c>
      <c r="I19" s="1">
        <v>26.92</v>
      </c>
      <c r="J19" s="24">
        <v>1.31</v>
      </c>
    </row>
    <row r="20" spans="1:10" x14ac:dyDescent="0.25">
      <c r="A20" s="21" t="s">
        <v>2</v>
      </c>
      <c r="B20" s="4">
        <v>2021</v>
      </c>
      <c r="C20" s="7">
        <v>7795</v>
      </c>
      <c r="D20" s="7">
        <v>86433</v>
      </c>
      <c r="E20" s="7">
        <v>32430</v>
      </c>
      <c r="F20" s="7">
        <v>129992</v>
      </c>
      <c r="G20" s="1">
        <v>0.09</v>
      </c>
      <c r="H20" s="1">
        <v>37.520000000000003</v>
      </c>
      <c r="I20" s="1">
        <v>24.95</v>
      </c>
      <c r="J20" s="24">
        <v>1.26</v>
      </c>
    </row>
    <row r="21" spans="1:10" x14ac:dyDescent="0.25">
      <c r="A21" s="21" t="s">
        <v>2</v>
      </c>
      <c r="B21" s="4">
        <v>2022</v>
      </c>
      <c r="C21" s="7">
        <v>7818</v>
      </c>
      <c r="D21" s="7">
        <v>89139</v>
      </c>
      <c r="E21" s="7">
        <v>38327</v>
      </c>
      <c r="F21" s="7">
        <v>140924</v>
      </c>
      <c r="G21" s="1">
        <v>0.09</v>
      </c>
      <c r="H21" s="1">
        <v>43</v>
      </c>
      <c r="I21" s="1">
        <v>27.2</v>
      </c>
      <c r="J21" s="24">
        <v>1.36</v>
      </c>
    </row>
    <row r="22" spans="1:10" x14ac:dyDescent="0.25">
      <c r="A22" s="21" t="s">
        <v>2</v>
      </c>
      <c r="B22" s="4">
        <v>2023</v>
      </c>
      <c r="C22" s="7">
        <v>7688</v>
      </c>
      <c r="D22" s="7">
        <v>90424</v>
      </c>
      <c r="E22" s="7">
        <v>42147</v>
      </c>
      <c r="F22" s="7">
        <v>142859</v>
      </c>
      <c r="G22" s="1">
        <v>0.09</v>
      </c>
      <c r="H22" s="1">
        <v>46.61</v>
      </c>
      <c r="I22" s="1">
        <v>29.5</v>
      </c>
      <c r="J22" s="24">
        <v>1.58</v>
      </c>
    </row>
    <row r="23" spans="1:10" ht="14.4" thickBot="1" x14ac:dyDescent="0.3">
      <c r="A23" s="22" t="s">
        <v>2</v>
      </c>
      <c r="B23" s="8">
        <v>2024</v>
      </c>
      <c r="C23" s="9">
        <v>8021</v>
      </c>
      <c r="D23" s="9">
        <v>90489</v>
      </c>
      <c r="E23" s="9">
        <v>45908</v>
      </c>
      <c r="F23" s="9">
        <v>145472</v>
      </c>
      <c r="G23" s="10">
        <v>0.09</v>
      </c>
      <c r="H23" s="10">
        <v>50.73</v>
      </c>
      <c r="I23" s="10">
        <v>31.56</v>
      </c>
      <c r="J23" s="24">
        <v>1.66</v>
      </c>
    </row>
    <row r="24" spans="1:10" x14ac:dyDescent="0.25">
      <c r="A24" s="20" t="s">
        <v>3</v>
      </c>
      <c r="B24" s="5">
        <v>2019</v>
      </c>
      <c r="C24" s="6">
        <v>1995.5</v>
      </c>
      <c r="D24" s="6">
        <v>20284.400000000001</v>
      </c>
      <c r="E24" s="6">
        <v>4297.6000000000004</v>
      </c>
      <c r="F24" s="6">
        <v>33445.800000000003</v>
      </c>
      <c r="G24" s="2">
        <v>0.1</v>
      </c>
      <c r="H24" s="2">
        <v>21.19</v>
      </c>
      <c r="I24" s="2">
        <v>12.85</v>
      </c>
      <c r="J24" s="24">
        <v>1.04</v>
      </c>
    </row>
    <row r="25" spans="1:10" x14ac:dyDescent="0.25">
      <c r="A25" s="21" t="s">
        <v>3</v>
      </c>
      <c r="B25" s="4">
        <v>2020</v>
      </c>
      <c r="C25" s="7">
        <v>3670.5</v>
      </c>
      <c r="D25" s="7">
        <v>21813.1</v>
      </c>
      <c r="E25" s="7">
        <v>4033</v>
      </c>
      <c r="F25" s="7">
        <v>37317.9</v>
      </c>
      <c r="G25" s="1">
        <v>0.17</v>
      </c>
      <c r="H25" s="1">
        <v>18.489999999999998</v>
      </c>
      <c r="I25" s="1">
        <v>10.81</v>
      </c>
      <c r="J25" s="24">
        <v>0.99</v>
      </c>
    </row>
    <row r="26" spans="1:10" x14ac:dyDescent="0.25">
      <c r="A26" s="21" t="s">
        <v>3</v>
      </c>
      <c r="B26" s="4">
        <v>2021</v>
      </c>
      <c r="C26" s="7">
        <v>2900.8</v>
      </c>
      <c r="D26" s="7">
        <v>24865</v>
      </c>
      <c r="E26" s="7">
        <v>4428</v>
      </c>
      <c r="F26" s="7">
        <v>39601.9</v>
      </c>
      <c r="G26" s="1">
        <v>0.12</v>
      </c>
      <c r="H26" s="1">
        <v>17.809999999999999</v>
      </c>
      <c r="I26" s="1">
        <v>11.18</v>
      </c>
      <c r="J26" s="24">
        <v>0.96</v>
      </c>
    </row>
    <row r="27" spans="1:10" x14ac:dyDescent="0.25">
      <c r="A27" s="21" t="s">
        <v>3</v>
      </c>
      <c r="B27" s="4">
        <v>2022</v>
      </c>
      <c r="C27" s="7">
        <v>2618.4</v>
      </c>
      <c r="D27" s="7">
        <v>26885.7</v>
      </c>
      <c r="E27" s="7">
        <v>5566.1</v>
      </c>
      <c r="F27" s="7">
        <v>44415.5</v>
      </c>
      <c r="G27" s="1">
        <v>0.1</v>
      </c>
      <c r="H27" s="1">
        <v>20.7</v>
      </c>
      <c r="I27" s="1">
        <v>12.53</v>
      </c>
      <c r="J27" s="24">
        <v>1.01</v>
      </c>
    </row>
    <row r="28" spans="1:10" x14ac:dyDescent="0.25">
      <c r="A28" s="21" t="s">
        <v>3</v>
      </c>
      <c r="B28" s="4">
        <v>2023</v>
      </c>
      <c r="C28" s="7">
        <v>2740.2</v>
      </c>
      <c r="D28" s="7">
        <v>27924.5</v>
      </c>
      <c r="E28" s="7">
        <v>4831.3</v>
      </c>
      <c r="F28" s="7">
        <v>45827.199999999997</v>
      </c>
      <c r="G28" s="1">
        <v>0.1</v>
      </c>
      <c r="H28" s="1">
        <v>17.3</v>
      </c>
      <c r="I28" s="1">
        <v>10.54</v>
      </c>
      <c r="J28" s="24">
        <v>1.1599999999999999</v>
      </c>
    </row>
    <row r="29" spans="1:10" ht="14.4" thickBot="1" x14ac:dyDescent="0.3">
      <c r="A29" s="22" t="s">
        <v>3</v>
      </c>
      <c r="B29" s="8">
        <v>2024</v>
      </c>
      <c r="C29" s="9">
        <v>2536.6999999999998</v>
      </c>
      <c r="D29" s="9">
        <v>26669.4</v>
      </c>
      <c r="E29" s="9">
        <v>2357.8000000000002</v>
      </c>
      <c r="F29" s="9">
        <v>43149.1</v>
      </c>
      <c r="G29" s="10">
        <v>0.1</v>
      </c>
      <c r="H29" s="10">
        <v>8.84</v>
      </c>
      <c r="I29" s="10">
        <v>5.46</v>
      </c>
      <c r="J29" s="24">
        <v>1.21</v>
      </c>
    </row>
    <row r="30" spans="1:10" x14ac:dyDescent="0.25">
      <c r="A30" s="20" t="s">
        <v>4</v>
      </c>
      <c r="B30" s="5">
        <v>2019</v>
      </c>
      <c r="C30" s="6">
        <v>9946.7000000000007</v>
      </c>
      <c r="D30" s="6">
        <v>56422.6</v>
      </c>
      <c r="E30" s="6">
        <v>9003.7000000000007</v>
      </c>
      <c r="F30" s="6">
        <v>82586.399999999994</v>
      </c>
      <c r="G30" s="2">
        <v>0.18</v>
      </c>
      <c r="H30" s="2">
        <v>15.96</v>
      </c>
      <c r="I30" s="2">
        <v>10.9</v>
      </c>
      <c r="J30" s="24">
        <v>0.71</v>
      </c>
    </row>
    <row r="31" spans="1:10" x14ac:dyDescent="0.25">
      <c r="A31" s="21" t="s">
        <v>4</v>
      </c>
      <c r="B31" s="4">
        <v>2020</v>
      </c>
      <c r="C31" s="7">
        <v>9724</v>
      </c>
      <c r="D31" s="7">
        <v>55321.7</v>
      </c>
      <c r="E31" s="7">
        <v>9722.2999999999993</v>
      </c>
      <c r="F31" s="7">
        <v>80999.600000000006</v>
      </c>
      <c r="G31" s="1">
        <v>0.18</v>
      </c>
      <c r="H31" s="1">
        <v>17.57</v>
      </c>
      <c r="I31" s="1">
        <v>12</v>
      </c>
      <c r="J31" s="24">
        <v>0.75</v>
      </c>
    </row>
    <row r="32" spans="1:10" x14ac:dyDescent="0.25">
      <c r="A32" s="21" t="s">
        <v>4</v>
      </c>
      <c r="B32" s="4">
        <v>2021</v>
      </c>
      <c r="C32" s="7">
        <v>10451.4</v>
      </c>
      <c r="D32" s="7">
        <v>54901</v>
      </c>
      <c r="E32" s="7">
        <v>10796.4</v>
      </c>
      <c r="F32" s="7">
        <v>82565.8</v>
      </c>
      <c r="G32" s="1">
        <v>0.19</v>
      </c>
      <c r="H32" s="1">
        <v>19.670000000000002</v>
      </c>
      <c r="I32" s="1">
        <v>13.08</v>
      </c>
      <c r="J32" s="24">
        <v>0.75</v>
      </c>
    </row>
    <row r="33" spans="1:10" x14ac:dyDescent="0.25">
      <c r="A33" s="21" t="s">
        <v>4</v>
      </c>
      <c r="B33" s="4">
        <v>2022</v>
      </c>
      <c r="C33" s="7">
        <v>17592.900000000001</v>
      </c>
      <c r="D33" s="7">
        <v>65403</v>
      </c>
      <c r="E33" s="7">
        <v>12229.6</v>
      </c>
      <c r="F33" s="7">
        <v>107275.6</v>
      </c>
      <c r="G33" s="1">
        <v>0.27</v>
      </c>
      <c r="H33" s="1">
        <v>18.7</v>
      </c>
      <c r="I33" s="1">
        <v>11.4</v>
      </c>
      <c r="J33" s="24">
        <v>0.74</v>
      </c>
    </row>
    <row r="34" spans="1:10" x14ac:dyDescent="0.25">
      <c r="A34" s="21" t="s">
        <v>4</v>
      </c>
      <c r="B34" s="4">
        <v>2023</v>
      </c>
      <c r="C34" s="7">
        <v>17466.599999999999</v>
      </c>
      <c r="D34" s="7">
        <v>77667.899999999994</v>
      </c>
      <c r="E34" s="7">
        <v>11350</v>
      </c>
      <c r="F34" s="7">
        <v>116923.7</v>
      </c>
      <c r="G34" s="1">
        <v>0.22</v>
      </c>
      <c r="H34" s="1">
        <v>14.61</v>
      </c>
      <c r="I34" s="1">
        <v>9.7100000000000009</v>
      </c>
      <c r="J34" s="24">
        <v>0.77</v>
      </c>
    </row>
    <row r="35" spans="1:10" ht="14.4" thickBot="1" x14ac:dyDescent="0.3">
      <c r="A35" s="22" t="s">
        <v>4</v>
      </c>
      <c r="B35" s="8">
        <v>2024</v>
      </c>
      <c r="C35" s="9">
        <v>16464.900000000001</v>
      </c>
      <c r="D35" s="9">
        <v>74988.3</v>
      </c>
      <c r="E35" s="9">
        <v>11045.2</v>
      </c>
      <c r="F35" s="9">
        <v>115064.2</v>
      </c>
      <c r="G35" s="10">
        <v>0.22</v>
      </c>
      <c r="H35" s="10">
        <v>14.73</v>
      </c>
      <c r="I35" s="10">
        <v>9.6</v>
      </c>
      <c r="J35" s="24">
        <v>0.78</v>
      </c>
    </row>
  </sheetData>
  <mergeCells count="2">
    <mergeCell ref="A1:J2"/>
    <mergeCell ref="A3:J4"/>
  </mergeCells>
  <conditionalFormatting sqref="G6:G35">
    <cfRule type="cellIs" dxfId="16" priority="14" operator="greaterThan">
      <formula>0.5</formula>
    </cfRule>
    <cfRule type="cellIs" dxfId="15" priority="15" operator="lessThan">
      <formula>0.1</formula>
    </cfRule>
    <cfRule type="cellIs" dxfId="14" priority="16" operator="between">
      <formula>0.1</formula>
      <formula>0.5</formula>
    </cfRule>
  </conditionalFormatting>
  <conditionalFormatting sqref="H6:H35">
    <cfRule type="cellIs" dxfId="13" priority="11" operator="lessThan">
      <formula>15</formula>
    </cfRule>
    <cfRule type="cellIs" dxfId="12" priority="12" operator="between">
      <formula>15</formula>
      <formula>25</formula>
    </cfRule>
    <cfRule type="cellIs" dxfId="11" priority="13" operator="greaterThan">
      <formula>25</formula>
    </cfRule>
  </conditionalFormatting>
  <conditionalFormatting sqref="I6:I35">
    <cfRule type="cellIs" dxfId="10" priority="8" operator="lessThan">
      <formula>8</formula>
    </cfRule>
    <cfRule type="cellIs" dxfId="9" priority="9" operator="greaterThan">
      <formula>15</formula>
    </cfRule>
    <cfRule type="cellIs" dxfId="8" priority="10" operator="between">
      <formula>8</formula>
      <formula>15</formula>
    </cfRule>
  </conditionalFormatting>
  <conditionalFormatting sqref="J6:J35">
    <cfRule type="cellIs" dxfId="7" priority="1" operator="lessThan">
      <formula>0.5</formula>
    </cfRule>
    <cfRule type="cellIs" dxfId="6" priority="2" operator="greaterThan">
      <formula>1</formula>
    </cfRule>
    <cfRule type="cellIs" dxfId="5" priority="3" operator="between">
      <formula>0.5</formula>
      <formula>1</formula>
    </cfRule>
  </conditionalFormatting>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DFE6B1-47E2-4D56-A2F5-A74DF37EDB63}">
  <sheetPr>
    <tabColor rgb="FF92D050"/>
  </sheetPr>
  <dimension ref="A1:H35"/>
  <sheetViews>
    <sheetView showGridLines="0" workbookViewId="0">
      <pane ySplit="5" topLeftCell="A6" activePane="bottomLeft" state="frozen"/>
      <selection pane="bottomLeft" sqref="A1:H2"/>
    </sheetView>
  </sheetViews>
  <sheetFormatPr defaultRowHeight="13.8" x14ac:dyDescent="0.25"/>
  <cols>
    <col min="1" max="1" width="13.44140625" bestFit="1" customWidth="1"/>
    <col min="3" max="3" width="15.33203125" customWidth="1"/>
    <col min="4" max="4" width="25.109375" customWidth="1"/>
    <col min="5" max="5" width="21.5546875" customWidth="1"/>
    <col min="6" max="6" width="15.5546875" customWidth="1"/>
    <col min="7" max="7" width="13.109375" customWidth="1"/>
    <col min="8" max="8" width="27.88671875" customWidth="1"/>
  </cols>
  <sheetData>
    <row r="1" spans="1:8" ht="13.8" customHeight="1" x14ac:dyDescent="0.25">
      <c r="A1" s="40" t="s">
        <v>36</v>
      </c>
      <c r="B1" s="40"/>
      <c r="C1" s="40"/>
      <c r="D1" s="40"/>
      <c r="E1" s="40"/>
      <c r="F1" s="40"/>
      <c r="G1" s="40"/>
      <c r="H1" s="40"/>
    </row>
    <row r="2" spans="1:8" ht="13.8" customHeight="1" x14ac:dyDescent="0.25">
      <c r="A2" s="40"/>
      <c r="B2" s="40"/>
      <c r="C2" s="40"/>
      <c r="D2" s="40"/>
      <c r="E2" s="40"/>
      <c r="F2" s="40"/>
      <c r="G2" s="40"/>
      <c r="H2" s="40"/>
    </row>
    <row r="3" spans="1:8" ht="13.8" customHeight="1" x14ac:dyDescent="0.25">
      <c r="A3" s="42" t="s">
        <v>37</v>
      </c>
      <c r="B3" s="42"/>
      <c r="C3" s="42"/>
      <c r="D3" s="42"/>
      <c r="E3" s="42"/>
      <c r="F3" s="42"/>
      <c r="G3" s="42"/>
      <c r="H3" s="42"/>
    </row>
    <row r="4" spans="1:8" ht="13.8" customHeight="1" x14ac:dyDescent="0.25">
      <c r="A4" s="42"/>
      <c r="B4" s="42"/>
      <c r="C4" s="42"/>
      <c r="D4" s="42"/>
      <c r="E4" s="42"/>
      <c r="F4" s="42"/>
      <c r="G4" s="42"/>
      <c r="H4" s="42"/>
    </row>
    <row r="5" spans="1:8" ht="45.6" thickBot="1" x14ac:dyDescent="0.3">
      <c r="A5" s="31" t="s">
        <v>8</v>
      </c>
      <c r="B5" s="32" t="s">
        <v>9</v>
      </c>
      <c r="C5" s="32" t="s">
        <v>38</v>
      </c>
      <c r="D5" s="32" t="s">
        <v>39</v>
      </c>
      <c r="E5" s="32" t="s">
        <v>40</v>
      </c>
      <c r="F5" s="32" t="s">
        <v>20</v>
      </c>
      <c r="G5" s="32" t="s">
        <v>41</v>
      </c>
      <c r="H5" s="33" t="s">
        <v>42</v>
      </c>
    </row>
    <row r="6" spans="1:8" x14ac:dyDescent="0.25">
      <c r="A6" s="20" t="s">
        <v>0</v>
      </c>
      <c r="B6" s="5">
        <v>2019</v>
      </c>
      <c r="C6" s="6">
        <v>7872</v>
      </c>
      <c r="D6" s="6">
        <v>58349</v>
      </c>
      <c r="E6" s="6">
        <v>11706</v>
      </c>
      <c r="F6" s="6">
        <v>60427</v>
      </c>
      <c r="G6" s="2">
        <v>0.13</v>
      </c>
      <c r="H6" s="23">
        <v>19.37</v>
      </c>
    </row>
    <row r="7" spans="1:8" x14ac:dyDescent="0.25">
      <c r="A7" s="21" t="s">
        <v>0</v>
      </c>
      <c r="B7" s="4">
        <v>2020</v>
      </c>
      <c r="C7" s="7">
        <v>4976</v>
      </c>
      <c r="D7" s="7">
        <v>82819</v>
      </c>
      <c r="E7" s="7">
        <v>14131</v>
      </c>
      <c r="F7" s="7">
        <v>70676</v>
      </c>
      <c r="G7" s="1">
        <v>0.06</v>
      </c>
      <c r="H7" s="24">
        <v>19.989999999999998</v>
      </c>
    </row>
    <row r="8" spans="1:8" x14ac:dyDescent="0.25">
      <c r="A8" s="21" t="s">
        <v>0</v>
      </c>
      <c r="B8" s="4">
        <v>2021</v>
      </c>
      <c r="C8" s="7">
        <v>8888</v>
      </c>
      <c r="D8" s="7">
        <v>86047</v>
      </c>
      <c r="E8" s="7">
        <v>17525</v>
      </c>
      <c r="F8" s="7">
        <v>75379</v>
      </c>
      <c r="G8" s="1">
        <v>0.1</v>
      </c>
      <c r="H8" s="24">
        <v>23.25</v>
      </c>
    </row>
    <row r="9" spans="1:8" x14ac:dyDescent="0.25">
      <c r="A9" s="21" t="s">
        <v>0</v>
      </c>
      <c r="B9" s="4">
        <v>2022</v>
      </c>
      <c r="C9" s="7">
        <v>12636</v>
      </c>
      <c r="D9" s="7">
        <v>88921</v>
      </c>
      <c r="E9" s="7">
        <v>20671</v>
      </c>
      <c r="F9" s="7">
        <v>85651</v>
      </c>
      <c r="G9" s="1">
        <v>0.14000000000000001</v>
      </c>
      <c r="H9" s="24">
        <v>24.13</v>
      </c>
    </row>
    <row r="10" spans="1:8" x14ac:dyDescent="0.25">
      <c r="A10" s="21" t="s">
        <v>0</v>
      </c>
      <c r="B10" s="4">
        <v>2023</v>
      </c>
      <c r="C10" s="7">
        <v>14724</v>
      </c>
      <c r="D10" s="7">
        <v>93250</v>
      </c>
      <c r="E10" s="7">
        <v>25506</v>
      </c>
      <c r="F10" s="7">
        <v>101456</v>
      </c>
      <c r="G10" s="1">
        <v>0.16</v>
      </c>
      <c r="H10" s="24">
        <v>25.14</v>
      </c>
    </row>
    <row r="11" spans="1:8" ht="14.4" thickBot="1" x14ac:dyDescent="0.3">
      <c r="A11" s="22" t="s">
        <v>0</v>
      </c>
      <c r="B11" s="8">
        <v>2024</v>
      </c>
      <c r="C11" s="9">
        <v>20150</v>
      </c>
      <c r="D11" s="9">
        <v>99006</v>
      </c>
      <c r="E11" s="9">
        <v>25521</v>
      </c>
      <c r="F11" s="9">
        <v>109913</v>
      </c>
      <c r="G11" s="10">
        <v>0.2</v>
      </c>
      <c r="H11" s="25">
        <v>23.22</v>
      </c>
    </row>
    <row r="12" spans="1:8" x14ac:dyDescent="0.25">
      <c r="A12" s="20" t="s">
        <v>1</v>
      </c>
      <c r="B12" s="5">
        <v>2019</v>
      </c>
      <c r="C12" s="6">
        <v>19568</v>
      </c>
      <c r="D12" s="6">
        <v>84066</v>
      </c>
      <c r="E12" s="6">
        <v>14827</v>
      </c>
      <c r="F12" s="6">
        <v>82675</v>
      </c>
      <c r="G12" s="2">
        <v>0.23</v>
      </c>
      <c r="H12" s="23">
        <v>17.93</v>
      </c>
    </row>
    <row r="13" spans="1:8" x14ac:dyDescent="0.25">
      <c r="A13" s="21" t="s">
        <v>1</v>
      </c>
      <c r="B13" s="4">
        <v>2020</v>
      </c>
      <c r="C13" s="7">
        <v>18649</v>
      </c>
      <c r="D13" s="7">
        <v>91800</v>
      </c>
      <c r="E13" s="7">
        <v>18487</v>
      </c>
      <c r="F13" s="7">
        <v>90791</v>
      </c>
      <c r="G13" s="1">
        <v>0.2</v>
      </c>
      <c r="H13" s="24">
        <v>20.36</v>
      </c>
    </row>
    <row r="14" spans="1:8" x14ac:dyDescent="0.25">
      <c r="A14" s="21" t="s">
        <v>1</v>
      </c>
      <c r="B14" s="4">
        <v>2021</v>
      </c>
      <c r="C14" s="7">
        <v>24714</v>
      </c>
      <c r="D14" s="7">
        <v>107511</v>
      </c>
      <c r="E14" s="7">
        <v>19294</v>
      </c>
      <c r="F14" s="7">
        <v>100472</v>
      </c>
      <c r="G14" s="1">
        <v>0.23</v>
      </c>
      <c r="H14" s="24">
        <v>19.2</v>
      </c>
    </row>
    <row r="15" spans="1:8" x14ac:dyDescent="0.25">
      <c r="A15" s="21" t="s">
        <v>1</v>
      </c>
      <c r="B15" s="4">
        <v>2022</v>
      </c>
      <c r="C15" s="7">
        <v>17472</v>
      </c>
      <c r="D15" s="7">
        <v>116729</v>
      </c>
      <c r="E15" s="7">
        <v>22698</v>
      </c>
      <c r="F15" s="7">
        <v>121641</v>
      </c>
      <c r="G15" s="1">
        <v>0.15</v>
      </c>
      <c r="H15" s="24">
        <v>18.66</v>
      </c>
    </row>
    <row r="16" spans="1:8" x14ac:dyDescent="0.25">
      <c r="A16" s="21" t="s">
        <v>1</v>
      </c>
      <c r="B16" s="4">
        <v>2023</v>
      </c>
      <c r="C16" s="7">
        <v>12173</v>
      </c>
      <c r="D16" s="7">
        <v>124596</v>
      </c>
      <c r="E16" s="7">
        <v>25424</v>
      </c>
      <c r="F16" s="7">
        <v>146767</v>
      </c>
      <c r="G16" s="1">
        <v>0.1</v>
      </c>
      <c r="H16" s="24">
        <v>17.32</v>
      </c>
    </row>
    <row r="17" spans="1:8" ht="14.4" thickBot="1" x14ac:dyDescent="0.3">
      <c r="A17" s="22" t="s">
        <v>1</v>
      </c>
      <c r="B17" s="8">
        <v>2024</v>
      </c>
      <c r="C17" s="9">
        <v>14786</v>
      </c>
      <c r="D17" s="9">
        <v>137360</v>
      </c>
      <c r="E17" s="9">
        <v>30193</v>
      </c>
      <c r="F17" s="9">
        <v>153670</v>
      </c>
      <c r="G17" s="10">
        <v>0.11</v>
      </c>
      <c r="H17" s="25">
        <v>19.649999999999999</v>
      </c>
    </row>
    <row r="18" spans="1:8" x14ac:dyDescent="0.25">
      <c r="A18" s="20" t="s">
        <v>2</v>
      </c>
      <c r="B18" s="5">
        <v>2019</v>
      </c>
      <c r="C18" s="6">
        <v>12848</v>
      </c>
      <c r="D18" s="6">
        <v>113901</v>
      </c>
      <c r="E18" s="6">
        <v>27346</v>
      </c>
      <c r="F18" s="6">
        <v>146463</v>
      </c>
      <c r="G18" s="2">
        <v>0.11</v>
      </c>
      <c r="H18" s="23">
        <v>18.670000000000002</v>
      </c>
    </row>
    <row r="19" spans="1:8" x14ac:dyDescent="0.25">
      <c r="A19" s="21" t="s">
        <v>2</v>
      </c>
      <c r="B19" s="4">
        <v>2020</v>
      </c>
      <c r="C19" s="7">
        <v>9666</v>
      </c>
      <c r="D19" s="7">
        <v>120127</v>
      </c>
      <c r="E19" s="7">
        <v>30532</v>
      </c>
      <c r="F19" s="7">
        <v>156949</v>
      </c>
      <c r="G19" s="1">
        <v>0.08</v>
      </c>
      <c r="H19" s="24">
        <v>19.45</v>
      </c>
    </row>
    <row r="20" spans="1:8" x14ac:dyDescent="0.25">
      <c r="A20" s="21" t="s">
        <v>2</v>
      </c>
      <c r="B20" s="4">
        <v>2021</v>
      </c>
      <c r="C20" s="7">
        <v>9329</v>
      </c>
      <c r="D20" s="7">
        <v>129992</v>
      </c>
      <c r="E20" s="7">
        <v>30079</v>
      </c>
      <c r="F20" s="7">
        <v>164177</v>
      </c>
      <c r="G20" s="1">
        <v>7.0000000000000007E-2</v>
      </c>
      <c r="H20" s="24">
        <v>18.32</v>
      </c>
    </row>
    <row r="21" spans="1:8" x14ac:dyDescent="0.25">
      <c r="A21" s="21" t="s">
        <v>2</v>
      </c>
      <c r="B21" s="4">
        <v>2022</v>
      </c>
      <c r="C21" s="7">
        <v>18221</v>
      </c>
      <c r="D21" s="7">
        <v>140924</v>
      </c>
      <c r="E21" s="7">
        <v>41810</v>
      </c>
      <c r="F21" s="7">
        <v>191754</v>
      </c>
      <c r="G21" s="1">
        <v>0.13</v>
      </c>
      <c r="H21" s="24">
        <v>21.8</v>
      </c>
    </row>
    <row r="22" spans="1:8" x14ac:dyDescent="0.25">
      <c r="A22" s="21" t="s">
        <v>2</v>
      </c>
      <c r="B22" s="4">
        <v>2023</v>
      </c>
      <c r="C22" s="7">
        <v>11032</v>
      </c>
      <c r="D22" s="7">
        <v>142859</v>
      </c>
      <c r="E22" s="7">
        <v>49954</v>
      </c>
      <c r="F22" s="7">
        <v>225458</v>
      </c>
      <c r="G22" s="1">
        <v>0.08</v>
      </c>
      <c r="H22" s="24">
        <v>22.16</v>
      </c>
    </row>
    <row r="23" spans="1:8" ht="14.4" thickBot="1" x14ac:dyDescent="0.3">
      <c r="A23" s="22" t="s">
        <v>2</v>
      </c>
      <c r="B23" s="8">
        <v>2024</v>
      </c>
      <c r="C23" s="9">
        <v>13286</v>
      </c>
      <c r="D23" s="9">
        <v>145472</v>
      </c>
      <c r="E23" s="9">
        <v>53577</v>
      </c>
      <c r="F23" s="9">
        <v>240893</v>
      </c>
      <c r="G23" s="10">
        <v>0.09</v>
      </c>
      <c r="H23" s="25">
        <v>22.24</v>
      </c>
    </row>
    <row r="24" spans="1:8" x14ac:dyDescent="0.25">
      <c r="A24" s="20" t="s">
        <v>3</v>
      </c>
      <c r="B24" s="5">
        <v>2019</v>
      </c>
      <c r="C24" s="6">
        <v>2358.6999999999998</v>
      </c>
      <c r="D24" s="6">
        <v>33445.800000000003</v>
      </c>
      <c r="E24" s="6">
        <v>6958.6</v>
      </c>
      <c r="F24" s="6">
        <v>34742.1</v>
      </c>
      <c r="G24" s="11">
        <v>7.0000000000000007E-2</v>
      </c>
      <c r="H24" s="23">
        <v>20.03</v>
      </c>
    </row>
    <row r="25" spans="1:8" x14ac:dyDescent="0.25">
      <c r="A25" s="21" t="s">
        <v>3</v>
      </c>
      <c r="B25" s="4">
        <v>2020</v>
      </c>
      <c r="C25" s="7">
        <v>3148.3</v>
      </c>
      <c r="D25" s="7">
        <v>37317.9</v>
      </c>
      <c r="E25" s="7">
        <v>7577.2</v>
      </c>
      <c r="F25" s="7">
        <v>36867.699999999997</v>
      </c>
      <c r="G25" s="12">
        <v>0.08</v>
      </c>
      <c r="H25" s="24">
        <v>20.55</v>
      </c>
    </row>
    <row r="26" spans="1:8" x14ac:dyDescent="0.25">
      <c r="A26" s="21" t="s">
        <v>3</v>
      </c>
      <c r="B26" s="4">
        <v>2021</v>
      </c>
      <c r="C26" s="7">
        <v>2835.2</v>
      </c>
      <c r="D26" s="7">
        <v>39601.9</v>
      </c>
      <c r="E26" s="7">
        <v>6472.8</v>
      </c>
      <c r="F26" s="7">
        <v>37855.1</v>
      </c>
      <c r="G26" s="12">
        <v>7.0000000000000007E-2</v>
      </c>
      <c r="H26" s="24">
        <v>17.100000000000001</v>
      </c>
    </row>
    <row r="27" spans="1:8" x14ac:dyDescent="0.25">
      <c r="A27" s="21" t="s">
        <v>3</v>
      </c>
      <c r="B27" s="4">
        <v>2022</v>
      </c>
      <c r="C27" s="7">
        <v>3974.5</v>
      </c>
      <c r="D27" s="7">
        <v>44415.5</v>
      </c>
      <c r="E27" s="7">
        <v>11933.4</v>
      </c>
      <c r="F27" s="7">
        <v>44646</v>
      </c>
      <c r="G27" s="12">
        <v>0.09</v>
      </c>
      <c r="H27" s="24">
        <v>26.73</v>
      </c>
    </row>
    <row r="28" spans="1:8" x14ac:dyDescent="0.25">
      <c r="A28" s="21" t="s">
        <v>3</v>
      </c>
      <c r="B28" s="4">
        <v>2023</v>
      </c>
      <c r="C28" s="7">
        <v>4254.7</v>
      </c>
      <c r="D28" s="7">
        <v>45827.199999999997</v>
      </c>
      <c r="E28" s="7">
        <v>12881.6</v>
      </c>
      <c r="F28" s="7">
        <v>53290.2</v>
      </c>
      <c r="G28" s="12">
        <v>0.09</v>
      </c>
      <c r="H28" s="24">
        <v>24.17</v>
      </c>
    </row>
    <row r="29" spans="1:8" ht="14.4" thickBot="1" x14ac:dyDescent="0.3">
      <c r="A29" s="22" t="s">
        <v>3</v>
      </c>
      <c r="B29" s="8">
        <v>2024</v>
      </c>
      <c r="C29" s="9">
        <v>4735.5</v>
      </c>
      <c r="D29" s="9">
        <v>43149.1</v>
      </c>
      <c r="E29" s="9">
        <v>11401.1</v>
      </c>
      <c r="F29" s="9">
        <v>51995.5</v>
      </c>
      <c r="G29" s="13">
        <v>0.11</v>
      </c>
      <c r="H29" s="25">
        <v>21.93</v>
      </c>
    </row>
    <row r="30" spans="1:8" x14ac:dyDescent="0.25">
      <c r="A30" s="20" t="s">
        <v>4</v>
      </c>
      <c r="B30" s="5">
        <v>2019</v>
      </c>
      <c r="C30" s="6">
        <v>15852.9</v>
      </c>
      <c r="D30" s="6">
        <v>82586.399999999994</v>
      </c>
      <c r="E30" s="6">
        <v>10048.9</v>
      </c>
      <c r="F30" s="6">
        <v>59018.9</v>
      </c>
      <c r="G30" s="2">
        <v>0.19</v>
      </c>
      <c r="H30" s="23">
        <v>17.03</v>
      </c>
    </row>
    <row r="31" spans="1:8" x14ac:dyDescent="0.25">
      <c r="A31" s="21" t="s">
        <v>4</v>
      </c>
      <c r="B31" s="4">
        <v>2020</v>
      </c>
      <c r="C31" s="7">
        <v>14449.9</v>
      </c>
      <c r="D31" s="7">
        <v>80999.600000000006</v>
      </c>
      <c r="E31" s="7">
        <v>10447.4</v>
      </c>
      <c r="F31" s="7">
        <v>61137.599999999999</v>
      </c>
      <c r="G31" s="1">
        <v>0.18</v>
      </c>
      <c r="H31" s="24">
        <v>17.09</v>
      </c>
    </row>
    <row r="32" spans="1:8" x14ac:dyDescent="0.25">
      <c r="A32" s="21" t="s">
        <v>4</v>
      </c>
      <c r="B32" s="4">
        <v>2021</v>
      </c>
      <c r="C32" s="7">
        <v>16979.3</v>
      </c>
      <c r="D32" s="7">
        <v>82565.8</v>
      </c>
      <c r="E32" s="7">
        <v>9429.7999999999993</v>
      </c>
      <c r="F32" s="7">
        <v>61934.9</v>
      </c>
      <c r="G32" s="1">
        <v>0.21</v>
      </c>
      <c r="H32" s="24">
        <v>15.23</v>
      </c>
    </row>
    <row r="33" spans="1:8" x14ac:dyDescent="0.25">
      <c r="A33" s="21" t="s">
        <v>4</v>
      </c>
      <c r="B33" s="4">
        <v>2022</v>
      </c>
      <c r="C33" s="7">
        <v>10383.6</v>
      </c>
      <c r="D33" s="7">
        <v>107275.6</v>
      </c>
      <c r="E33" s="7">
        <v>11521.9</v>
      </c>
      <c r="F33" s="7">
        <v>79312</v>
      </c>
      <c r="G33" s="1">
        <v>0.1</v>
      </c>
      <c r="H33" s="24">
        <v>14.53</v>
      </c>
    </row>
    <row r="34" spans="1:8" x14ac:dyDescent="0.25">
      <c r="A34" s="21" t="s">
        <v>4</v>
      </c>
      <c r="B34" s="4">
        <v>2023</v>
      </c>
      <c r="C34" s="7">
        <v>9188</v>
      </c>
      <c r="D34" s="7">
        <v>116923.7</v>
      </c>
      <c r="E34" s="7">
        <v>12635</v>
      </c>
      <c r="F34" s="7">
        <v>90487.6</v>
      </c>
      <c r="G34" s="1">
        <v>0.08</v>
      </c>
      <c r="H34" s="24">
        <v>13.96</v>
      </c>
    </row>
    <row r="35" spans="1:8" x14ac:dyDescent="0.25">
      <c r="A35" s="29" t="s">
        <v>4</v>
      </c>
      <c r="B35" s="14">
        <v>2024</v>
      </c>
      <c r="C35" s="15">
        <v>9695.2999999999993</v>
      </c>
      <c r="D35" s="15">
        <v>115064.2</v>
      </c>
      <c r="E35" s="15">
        <v>11547.7</v>
      </c>
      <c r="F35" s="15">
        <v>89760.3</v>
      </c>
      <c r="G35" s="16">
        <v>0.08</v>
      </c>
      <c r="H35" s="30">
        <v>12.87</v>
      </c>
    </row>
  </sheetData>
  <mergeCells count="2">
    <mergeCell ref="A1:H2"/>
    <mergeCell ref="A3:H4"/>
  </mergeCells>
  <conditionalFormatting sqref="G6:G35">
    <cfRule type="cellIs" dxfId="4" priority="3" operator="lessThan">
      <formula>$G$8</formula>
    </cfRule>
    <cfRule type="cellIs" dxfId="3" priority="4" operator="between">
      <formula>$G$8</formula>
      <formula>$G$11</formula>
    </cfRule>
    <cfRule type="cellIs" dxfId="2" priority="5" operator="greaterThan">
      <formula>$G$11</formula>
    </cfRule>
  </conditionalFormatting>
  <conditionalFormatting sqref="H6:H35">
    <cfRule type="cellIs" dxfId="1" priority="1" operator="between">
      <formula>$H$24</formula>
      <formula>30</formula>
    </cfRule>
    <cfRule type="cellIs" dxfId="0" priority="2" operator="lessThan">
      <formula>$H$24</formula>
    </cfRule>
  </conditionalFormatting>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6C6894-60E5-4478-B006-313AF61ED8F3}">
  <sheetPr>
    <tabColor rgb="FFFFC000"/>
  </sheetPr>
  <dimension ref="A1"/>
  <sheetViews>
    <sheetView showGridLines="0" workbookViewId="0"/>
  </sheetViews>
  <sheetFormatPr defaultRowHeight="13.8" x14ac:dyDescent="0.25"/>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E7C22A-8AE5-4925-ABA3-BCF1C60C955B}">
  <sheetPr>
    <tabColor rgb="FFFFC000"/>
  </sheetPr>
  <dimension ref="A3:G41"/>
  <sheetViews>
    <sheetView showGridLines="0" workbookViewId="0">
      <selection activeCell="H17" sqref="H17"/>
    </sheetView>
  </sheetViews>
  <sheetFormatPr defaultRowHeight="13.8" x14ac:dyDescent="0.25"/>
  <cols>
    <col min="1" max="1" width="30" bestFit="1" customWidth="1"/>
    <col min="2" max="2" width="16.5546875" bestFit="1" customWidth="1"/>
    <col min="3" max="3" width="9.5546875" bestFit="1" customWidth="1"/>
    <col min="4" max="4" width="10" bestFit="1" customWidth="1"/>
    <col min="5" max="5" width="9.5546875" bestFit="1" customWidth="1"/>
    <col min="6" max="6" width="14.33203125" bestFit="1" customWidth="1"/>
    <col min="7" max="7" width="11.6640625" bestFit="1" customWidth="1"/>
    <col min="8" max="8" width="30.6640625" bestFit="1" customWidth="1"/>
    <col min="9" max="9" width="19.77734375" bestFit="1" customWidth="1"/>
    <col min="10" max="10" width="30.6640625" bestFit="1" customWidth="1"/>
    <col min="11" max="11" width="19.77734375" bestFit="1" customWidth="1"/>
    <col min="12" max="12" width="35.88671875" bestFit="1" customWidth="1"/>
    <col min="13" max="13" width="25" bestFit="1" customWidth="1"/>
  </cols>
  <sheetData>
    <row r="3" spans="1:7" x14ac:dyDescent="0.25">
      <c r="A3" s="37" t="s">
        <v>65</v>
      </c>
      <c r="B3" s="37" t="s">
        <v>60</v>
      </c>
    </row>
    <row r="4" spans="1:7" x14ac:dyDescent="0.25">
      <c r="A4" s="37" t="s">
        <v>62</v>
      </c>
      <c r="B4" t="s">
        <v>2</v>
      </c>
      <c r="C4" t="s">
        <v>1</v>
      </c>
      <c r="D4" t="s">
        <v>0</v>
      </c>
      <c r="E4" t="s">
        <v>4</v>
      </c>
      <c r="F4" t="s">
        <v>3</v>
      </c>
      <c r="G4" t="s">
        <v>61</v>
      </c>
    </row>
    <row r="5" spans="1:7" x14ac:dyDescent="0.25">
      <c r="A5" s="38">
        <v>2019</v>
      </c>
      <c r="B5">
        <v>21.49</v>
      </c>
      <c r="C5">
        <v>18.63</v>
      </c>
      <c r="D5">
        <v>16.75</v>
      </c>
      <c r="E5">
        <v>15.26</v>
      </c>
      <c r="F5">
        <v>12.37</v>
      </c>
      <c r="G5">
        <v>16.899999999999999</v>
      </c>
    </row>
    <row r="6" spans="1:7" x14ac:dyDescent="0.25">
      <c r="A6" s="38">
        <v>2020</v>
      </c>
      <c r="B6">
        <v>20.61</v>
      </c>
      <c r="C6">
        <v>18.28</v>
      </c>
      <c r="D6">
        <v>15.64</v>
      </c>
      <c r="E6">
        <v>15.9</v>
      </c>
      <c r="F6">
        <v>10.94</v>
      </c>
      <c r="G6">
        <v>16.274000000000001</v>
      </c>
    </row>
    <row r="7" spans="1:7" x14ac:dyDescent="0.25">
      <c r="A7" s="38">
        <v>2021</v>
      </c>
      <c r="B7">
        <v>19.75</v>
      </c>
      <c r="C7">
        <v>19.260000000000002</v>
      </c>
      <c r="D7">
        <v>14.79</v>
      </c>
      <c r="E7">
        <v>17.43</v>
      </c>
      <c r="F7">
        <v>11.7</v>
      </c>
      <c r="G7">
        <v>16.586000000000002</v>
      </c>
    </row>
    <row r="8" spans="1:7" x14ac:dyDescent="0.25">
      <c r="A8" s="38">
        <v>2022</v>
      </c>
      <c r="B8">
        <v>19.989999999999998</v>
      </c>
      <c r="C8">
        <v>18.18</v>
      </c>
      <c r="D8">
        <v>15.76</v>
      </c>
      <c r="E8">
        <v>15.42</v>
      </c>
      <c r="F8">
        <v>12.47</v>
      </c>
      <c r="G8">
        <v>16.363999999999997</v>
      </c>
    </row>
    <row r="9" spans="1:7" x14ac:dyDescent="0.25">
      <c r="A9" s="38">
        <v>2023</v>
      </c>
      <c r="B9">
        <v>18.690000000000001</v>
      </c>
      <c r="C9">
        <v>16.420000000000002</v>
      </c>
      <c r="D9">
        <v>14.64</v>
      </c>
      <c r="E9">
        <v>12.54</v>
      </c>
      <c r="F9">
        <v>9.07</v>
      </c>
      <c r="G9">
        <v>14.272</v>
      </c>
    </row>
    <row r="10" spans="1:7" x14ac:dyDescent="0.25">
      <c r="A10" s="38">
        <v>2024</v>
      </c>
      <c r="B10">
        <v>19.059999999999999</v>
      </c>
      <c r="C10">
        <v>17.07</v>
      </c>
      <c r="D10">
        <v>14.29</v>
      </c>
      <c r="E10">
        <v>12.31</v>
      </c>
      <c r="F10">
        <v>4.53</v>
      </c>
      <c r="G10">
        <v>13.452000000000002</v>
      </c>
    </row>
    <row r="11" spans="1:7" x14ac:dyDescent="0.25">
      <c r="A11" s="38" t="s">
        <v>61</v>
      </c>
      <c r="B11" s="39">
        <v>19.931666666666665</v>
      </c>
      <c r="C11" s="39">
        <v>17.973333333333333</v>
      </c>
      <c r="D11" s="39">
        <v>15.311666666666667</v>
      </c>
      <c r="E11" s="39">
        <v>14.810000000000002</v>
      </c>
      <c r="F11" s="39">
        <v>10.18</v>
      </c>
      <c r="G11" s="39">
        <v>15.641333333333334</v>
      </c>
    </row>
    <row r="33" spans="1:7" x14ac:dyDescent="0.25">
      <c r="A33" s="37" t="s">
        <v>66</v>
      </c>
      <c r="B33" s="37" t="s">
        <v>60</v>
      </c>
    </row>
    <row r="34" spans="1:7" x14ac:dyDescent="0.25">
      <c r="A34" s="37" t="s">
        <v>62</v>
      </c>
      <c r="B34" t="s">
        <v>2</v>
      </c>
      <c r="C34" t="s">
        <v>1</v>
      </c>
      <c r="D34" t="s">
        <v>0</v>
      </c>
      <c r="E34" t="s">
        <v>4</v>
      </c>
      <c r="F34" t="s">
        <v>3</v>
      </c>
      <c r="G34" t="s">
        <v>61</v>
      </c>
    </row>
    <row r="35" spans="1:7" x14ac:dyDescent="0.25">
      <c r="A35" s="38">
        <v>2019</v>
      </c>
      <c r="B35" s="39">
        <v>43727</v>
      </c>
      <c r="C35" s="39">
        <v>23046</v>
      </c>
      <c r="D35" s="39">
        <v>14869</v>
      </c>
      <c r="E35" s="39">
        <v>14212.2</v>
      </c>
      <c r="F35" s="39">
        <v>6814.4</v>
      </c>
      <c r="G35" s="39">
        <v>102668.59999999999</v>
      </c>
    </row>
    <row r="36" spans="1:7" x14ac:dyDescent="0.25">
      <c r="A36" s="38">
        <v>2020</v>
      </c>
      <c r="B36" s="39">
        <v>46594</v>
      </c>
      <c r="C36" s="39">
        <v>25025</v>
      </c>
      <c r="D36" s="39">
        <v>17905</v>
      </c>
      <c r="E36" s="39">
        <v>15020.7</v>
      </c>
      <c r="F36" s="39">
        <v>6831.1</v>
      </c>
      <c r="G36" s="39">
        <v>111375.8</v>
      </c>
    </row>
    <row r="37" spans="1:7" x14ac:dyDescent="0.25">
      <c r="A37" s="38">
        <v>2021</v>
      </c>
      <c r="B37" s="39">
        <v>48330</v>
      </c>
      <c r="C37" s="39">
        <v>30018</v>
      </c>
      <c r="D37" s="39">
        <v>20951</v>
      </c>
      <c r="E37" s="39">
        <v>17103.5</v>
      </c>
      <c r="F37" s="39">
        <v>7659.6</v>
      </c>
      <c r="G37" s="39">
        <v>124062.1</v>
      </c>
    </row>
    <row r="38" spans="1:7" x14ac:dyDescent="0.25">
      <c r="A38" s="38">
        <v>2022</v>
      </c>
      <c r="B38" s="39">
        <v>56953</v>
      </c>
      <c r="C38" s="39">
        <v>33750</v>
      </c>
      <c r="D38" s="39">
        <v>21572</v>
      </c>
      <c r="E38" s="39">
        <v>18737.3</v>
      </c>
      <c r="F38" s="39">
        <v>9071.1</v>
      </c>
      <c r="G38" s="39">
        <v>140083.4</v>
      </c>
    </row>
    <row r="39" spans="1:7" x14ac:dyDescent="0.25">
      <c r="A39" s="38">
        <v>2023</v>
      </c>
      <c r="B39" s="39">
        <v>62552</v>
      </c>
      <c r="C39" s="39">
        <v>37818</v>
      </c>
      <c r="D39" s="39">
        <v>23992</v>
      </c>
      <c r="E39" s="39">
        <v>19097.099999999999</v>
      </c>
      <c r="F39" s="39">
        <v>8702.1</v>
      </c>
      <c r="G39" s="39">
        <v>152161.20000000001</v>
      </c>
    </row>
    <row r="40" spans="1:7" x14ac:dyDescent="0.25">
      <c r="A40" s="38">
        <v>2024</v>
      </c>
      <c r="B40" s="39">
        <v>67569</v>
      </c>
      <c r="C40" s="39">
        <v>41121</v>
      </c>
      <c r="D40" s="39">
        <v>25685</v>
      </c>
      <c r="E40" s="39">
        <v>19316.400000000001</v>
      </c>
      <c r="F40" s="39">
        <v>5394.7</v>
      </c>
      <c r="G40" s="39">
        <v>159086.1</v>
      </c>
    </row>
    <row r="41" spans="1:7" x14ac:dyDescent="0.25">
      <c r="A41" s="38" t="s">
        <v>61</v>
      </c>
      <c r="B41" s="39">
        <v>325725</v>
      </c>
      <c r="C41" s="39">
        <v>190778</v>
      </c>
      <c r="D41" s="39">
        <v>124974</v>
      </c>
      <c r="E41" s="39">
        <v>103487.19999999998</v>
      </c>
      <c r="F41" s="39">
        <v>44472.999999999993</v>
      </c>
      <c r="G41" s="39">
        <v>789437.20000000007</v>
      </c>
    </row>
  </sheetData>
  <pageMargins left="0.7" right="0.7" top="0.75" bottom="0.75" header="0.3" footer="0.3"/>
  <drawing r:id="rId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EA0D09-D441-413D-98AC-55A030F15ABC}">
  <sheetPr>
    <tabColor rgb="FFFFC000"/>
  </sheetPr>
  <dimension ref="A3:G41"/>
  <sheetViews>
    <sheetView showGridLines="0" workbookViewId="0">
      <selection activeCell="I54" sqref="E43:I54"/>
    </sheetView>
  </sheetViews>
  <sheetFormatPr defaultRowHeight="13.8" x14ac:dyDescent="0.25"/>
  <cols>
    <col min="1" max="1" width="20.88671875" bestFit="1" customWidth="1"/>
    <col min="2" max="2" width="16.5546875" bestFit="1" customWidth="1"/>
    <col min="3" max="3" width="14.33203125" bestFit="1" customWidth="1"/>
    <col min="4" max="4" width="10" bestFit="1" customWidth="1"/>
    <col min="5" max="5" width="7.21875" bestFit="1" customWidth="1"/>
    <col min="6" max="6" width="5" bestFit="1" customWidth="1"/>
    <col min="7" max="7" width="11.6640625" bestFit="1" customWidth="1"/>
    <col min="8" max="8" width="17.77734375" bestFit="1" customWidth="1"/>
    <col min="9" max="9" width="20.88671875" bestFit="1" customWidth="1"/>
    <col min="10" max="10" width="17.77734375" bestFit="1" customWidth="1"/>
    <col min="11" max="11" width="20.88671875" bestFit="1" customWidth="1"/>
    <col min="12" max="12" width="23" bestFit="1" customWidth="1"/>
    <col min="13" max="13" width="26.21875" bestFit="1" customWidth="1"/>
  </cols>
  <sheetData>
    <row r="3" spans="1:7" x14ac:dyDescent="0.25">
      <c r="A3" s="37" t="s">
        <v>67</v>
      </c>
      <c r="B3" s="37" t="s">
        <v>60</v>
      </c>
    </row>
    <row r="4" spans="1:7" x14ac:dyDescent="0.25">
      <c r="A4" s="37" t="s">
        <v>62</v>
      </c>
      <c r="B4" t="s">
        <v>2</v>
      </c>
      <c r="C4" t="s">
        <v>1</v>
      </c>
      <c r="D4" t="s">
        <v>0</v>
      </c>
      <c r="E4" t="s">
        <v>3</v>
      </c>
      <c r="F4" t="s">
        <v>4</v>
      </c>
      <c r="G4" t="s">
        <v>61</v>
      </c>
    </row>
    <row r="5" spans="1:7" x14ac:dyDescent="0.25">
      <c r="A5" s="38">
        <v>2019</v>
      </c>
      <c r="B5" s="46">
        <v>35.19</v>
      </c>
      <c r="C5" s="46">
        <v>23.72</v>
      </c>
      <c r="D5" s="46">
        <v>24.46</v>
      </c>
      <c r="E5" s="46">
        <v>21.19</v>
      </c>
      <c r="F5" s="46">
        <v>15.96</v>
      </c>
      <c r="G5" s="46">
        <v>24.104000000000003</v>
      </c>
    </row>
    <row r="6" spans="1:7" x14ac:dyDescent="0.25">
      <c r="A6" s="38">
        <v>2020</v>
      </c>
      <c r="B6" s="46">
        <v>38.44</v>
      </c>
      <c r="C6" s="46">
        <v>25.35</v>
      </c>
      <c r="D6" s="46">
        <v>21.57</v>
      </c>
      <c r="E6" s="46">
        <v>18.489999999999998</v>
      </c>
      <c r="F6" s="46">
        <v>17.57</v>
      </c>
      <c r="G6" s="46">
        <v>24.283999999999999</v>
      </c>
    </row>
    <row r="7" spans="1:7" x14ac:dyDescent="0.25">
      <c r="A7" s="38">
        <v>2021</v>
      </c>
      <c r="B7" s="46">
        <v>37.520000000000003</v>
      </c>
      <c r="C7" s="46">
        <v>25.34</v>
      </c>
      <c r="D7" s="46">
        <v>18.600000000000001</v>
      </c>
      <c r="E7" s="46">
        <v>17.809999999999999</v>
      </c>
      <c r="F7" s="46">
        <v>19.670000000000002</v>
      </c>
      <c r="G7" s="46">
        <v>23.788000000000004</v>
      </c>
    </row>
    <row r="8" spans="1:7" x14ac:dyDescent="0.25">
      <c r="A8" s="38">
        <v>2022</v>
      </c>
      <c r="B8" s="46">
        <v>43</v>
      </c>
      <c r="C8" s="46">
        <v>29.34</v>
      </c>
      <c r="D8" s="46">
        <v>21.8</v>
      </c>
      <c r="E8" s="46">
        <v>20.7</v>
      </c>
      <c r="F8" s="46">
        <v>18.7</v>
      </c>
      <c r="G8" s="46">
        <v>26.707999999999998</v>
      </c>
    </row>
    <row r="9" spans="1:7" x14ac:dyDescent="0.25">
      <c r="A9" s="38">
        <v>2023</v>
      </c>
      <c r="B9" s="46">
        <v>46.61</v>
      </c>
      <c r="C9" s="46">
        <v>31.95</v>
      </c>
      <c r="D9" s="46">
        <v>22.71</v>
      </c>
      <c r="E9" s="46">
        <v>17.3</v>
      </c>
      <c r="F9" s="46">
        <v>14.61</v>
      </c>
      <c r="G9" s="46">
        <v>26.636000000000003</v>
      </c>
    </row>
    <row r="10" spans="1:7" x14ac:dyDescent="0.25">
      <c r="A10" s="38">
        <v>2024</v>
      </c>
      <c r="B10" s="46">
        <v>50.73</v>
      </c>
      <c r="C10" s="46">
        <v>29.77</v>
      </c>
      <c r="D10" s="46">
        <v>23</v>
      </c>
      <c r="E10" s="46">
        <v>8.84</v>
      </c>
      <c r="F10" s="46">
        <v>14.73</v>
      </c>
      <c r="G10" s="46">
        <v>25.414000000000001</v>
      </c>
    </row>
    <row r="11" spans="1:7" x14ac:dyDescent="0.25">
      <c r="A11" s="38" t="s">
        <v>61</v>
      </c>
      <c r="B11" s="46">
        <v>41.914999999999999</v>
      </c>
      <c r="C11" s="46">
        <v>27.578333333333333</v>
      </c>
      <c r="D11" s="46">
        <v>22.02333333333333</v>
      </c>
      <c r="E11" s="46">
        <v>17.388333333333332</v>
      </c>
      <c r="F11" s="46">
        <v>16.873333333333335</v>
      </c>
      <c r="G11" s="46">
        <v>25.155666666666665</v>
      </c>
    </row>
    <row r="33" spans="1:7" x14ac:dyDescent="0.25">
      <c r="A33" s="37" t="s">
        <v>68</v>
      </c>
      <c r="B33" s="37" t="s">
        <v>60</v>
      </c>
    </row>
    <row r="34" spans="1:7" x14ac:dyDescent="0.25">
      <c r="A34" s="37" t="s">
        <v>62</v>
      </c>
      <c r="B34" t="s">
        <v>4</v>
      </c>
      <c r="C34" t="s">
        <v>3</v>
      </c>
      <c r="D34" t="s">
        <v>0</v>
      </c>
      <c r="E34" t="s">
        <v>1</v>
      </c>
      <c r="F34" t="s">
        <v>2</v>
      </c>
      <c r="G34" t="s">
        <v>61</v>
      </c>
    </row>
    <row r="35" spans="1:7" x14ac:dyDescent="0.25">
      <c r="A35" s="38">
        <v>2019</v>
      </c>
      <c r="B35" s="46">
        <v>0.18</v>
      </c>
      <c r="C35" s="46">
        <v>0.1</v>
      </c>
      <c r="D35" s="46">
        <v>0.1</v>
      </c>
      <c r="E35" s="46">
        <v>7.0000000000000007E-2</v>
      </c>
      <c r="F35" s="46">
        <v>0</v>
      </c>
      <c r="G35" s="46">
        <v>0.45</v>
      </c>
    </row>
    <row r="36" spans="1:7" x14ac:dyDescent="0.25">
      <c r="A36" s="38">
        <v>2020</v>
      </c>
      <c r="B36" s="46">
        <v>0.18</v>
      </c>
      <c r="C36" s="46">
        <v>0.17</v>
      </c>
      <c r="D36" s="46">
        <v>0.16</v>
      </c>
      <c r="E36" s="46">
        <v>7.0000000000000007E-2</v>
      </c>
      <c r="F36" s="46">
        <v>0.1</v>
      </c>
      <c r="G36" s="46">
        <v>0.67999999999999994</v>
      </c>
    </row>
    <row r="37" spans="1:7" x14ac:dyDescent="0.25">
      <c r="A37" s="38">
        <v>2021</v>
      </c>
      <c r="B37" s="46">
        <v>0.19</v>
      </c>
      <c r="C37" s="46">
        <v>0.12</v>
      </c>
      <c r="D37" s="46">
        <v>0.11</v>
      </c>
      <c r="E37" s="46">
        <v>7.0000000000000007E-2</v>
      </c>
      <c r="F37" s="46">
        <v>0.09</v>
      </c>
      <c r="G37" s="46">
        <v>0.58000000000000007</v>
      </c>
    </row>
    <row r="38" spans="1:7" x14ac:dyDescent="0.25">
      <c r="A38" s="38">
        <v>2022</v>
      </c>
      <c r="B38" s="46">
        <v>0.27</v>
      </c>
      <c r="C38" s="46">
        <v>0.1</v>
      </c>
      <c r="D38" s="46">
        <v>0.1</v>
      </c>
      <c r="E38" s="46">
        <v>7.0000000000000007E-2</v>
      </c>
      <c r="F38" s="46">
        <v>0.09</v>
      </c>
      <c r="G38" s="46">
        <v>0.63</v>
      </c>
    </row>
    <row r="39" spans="1:7" x14ac:dyDescent="0.25">
      <c r="A39" s="38">
        <v>2023</v>
      </c>
      <c r="B39" s="46">
        <v>0.22</v>
      </c>
      <c r="C39" s="46">
        <v>0.1</v>
      </c>
      <c r="D39" s="46">
        <v>7.0000000000000007E-2</v>
      </c>
      <c r="E39" s="46">
        <v>0.11</v>
      </c>
      <c r="F39" s="46">
        <v>0.09</v>
      </c>
      <c r="G39" s="46">
        <v>0.59</v>
      </c>
    </row>
    <row r="40" spans="1:7" x14ac:dyDescent="0.25">
      <c r="A40" s="38">
        <v>2024</v>
      </c>
      <c r="B40" s="46">
        <v>0.22</v>
      </c>
      <c r="C40" s="46">
        <v>0.1</v>
      </c>
      <c r="D40" s="46">
        <v>0.08</v>
      </c>
      <c r="E40" s="46">
        <v>0.09</v>
      </c>
      <c r="F40" s="46">
        <v>0.09</v>
      </c>
      <c r="G40" s="46">
        <v>0.57999999999999996</v>
      </c>
    </row>
    <row r="41" spans="1:7" x14ac:dyDescent="0.25">
      <c r="A41" s="38" t="s">
        <v>61</v>
      </c>
      <c r="B41" s="46">
        <v>1.26</v>
      </c>
      <c r="C41" s="46">
        <v>0.69</v>
      </c>
      <c r="D41" s="46">
        <v>0.62</v>
      </c>
      <c r="E41" s="46">
        <v>0.48</v>
      </c>
      <c r="F41" s="46">
        <v>0.45999999999999996</v>
      </c>
      <c r="G41" s="46">
        <v>3.51</v>
      </c>
    </row>
  </sheetData>
  <pageMargins left="0.7" right="0.7" top="0.75" bottom="0.75" header="0.3" footer="0.3"/>
  <drawing r:id="rId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C37475-28B5-459F-B563-9A9DE66882FD}">
  <sheetPr>
    <tabColor rgb="FFFFC000"/>
  </sheetPr>
  <dimension ref="A3:G40"/>
  <sheetViews>
    <sheetView showGridLines="0" workbookViewId="0">
      <selection activeCell="H6" sqref="H6"/>
    </sheetView>
  </sheetViews>
  <sheetFormatPr defaultRowHeight="13.8" x14ac:dyDescent="0.25"/>
  <cols>
    <col min="1" max="1" width="36.6640625" bestFit="1" customWidth="1"/>
    <col min="2" max="2" width="16.5546875" bestFit="1" customWidth="1"/>
    <col min="3" max="4" width="7.6640625" bestFit="1" customWidth="1"/>
    <col min="5" max="5" width="14.33203125" bestFit="1" customWidth="1"/>
    <col min="6" max="6" width="6.44140625" bestFit="1" customWidth="1"/>
    <col min="7" max="7" width="11.6640625" bestFit="1" customWidth="1"/>
    <col min="8" max="8" width="29.6640625" bestFit="1" customWidth="1"/>
    <col min="9" max="9" width="36.6640625" bestFit="1" customWidth="1"/>
    <col min="10" max="10" width="29.6640625" bestFit="1" customWidth="1"/>
    <col min="11" max="11" width="36.6640625" bestFit="1" customWidth="1"/>
    <col min="12" max="12" width="34.88671875" bestFit="1" customWidth="1"/>
    <col min="13" max="13" width="42" bestFit="1" customWidth="1"/>
  </cols>
  <sheetData>
    <row r="3" spans="1:7" x14ac:dyDescent="0.25">
      <c r="A3" s="37" t="s">
        <v>64</v>
      </c>
      <c r="B3" s="37" t="s">
        <v>60</v>
      </c>
    </row>
    <row r="4" spans="1:7" x14ac:dyDescent="0.25">
      <c r="A4" s="37" t="s">
        <v>62</v>
      </c>
      <c r="B4" t="s">
        <v>0</v>
      </c>
      <c r="C4" t="s">
        <v>1</v>
      </c>
      <c r="D4" t="s">
        <v>2</v>
      </c>
      <c r="E4" t="s">
        <v>3</v>
      </c>
      <c r="F4" t="s">
        <v>4</v>
      </c>
      <c r="G4" t="s">
        <v>61</v>
      </c>
    </row>
    <row r="5" spans="1:7" x14ac:dyDescent="0.25">
      <c r="A5" s="38">
        <v>2019</v>
      </c>
      <c r="B5" t="e">
        <v>#DIV/0!</v>
      </c>
      <c r="C5" t="e">
        <v>#DIV/0!</v>
      </c>
      <c r="D5" t="e">
        <v>#DIV/0!</v>
      </c>
      <c r="E5" t="e">
        <v>#DIV/0!</v>
      </c>
      <c r="F5" t="e">
        <v>#DIV/0!</v>
      </c>
      <c r="G5" t="e">
        <v>#DIV/0!</v>
      </c>
    </row>
    <row r="6" spans="1:7" x14ac:dyDescent="0.25">
      <c r="A6" s="38">
        <v>2020</v>
      </c>
      <c r="B6">
        <v>16.96</v>
      </c>
      <c r="C6">
        <v>9.82</v>
      </c>
      <c r="D6">
        <v>7.16</v>
      </c>
      <c r="E6">
        <v>6.12</v>
      </c>
      <c r="F6">
        <v>3.59</v>
      </c>
      <c r="G6">
        <v>8.7299999999999986</v>
      </c>
    </row>
    <row r="7" spans="1:7" x14ac:dyDescent="0.25">
      <c r="A7" s="38">
        <v>2021</v>
      </c>
      <c r="B7">
        <v>6.65</v>
      </c>
      <c r="C7">
        <v>10.66</v>
      </c>
      <c r="D7">
        <v>4.6100000000000003</v>
      </c>
      <c r="E7">
        <v>2.68</v>
      </c>
      <c r="F7">
        <v>1.3</v>
      </c>
      <c r="G7">
        <v>5.1800000000000006</v>
      </c>
    </row>
    <row r="8" spans="1:7" x14ac:dyDescent="0.25">
      <c r="A8" s="38">
        <v>2022</v>
      </c>
      <c r="B8">
        <v>13.63</v>
      </c>
      <c r="C8">
        <v>21.07</v>
      </c>
      <c r="D8">
        <v>16.8</v>
      </c>
      <c r="E8">
        <v>17.940000000000001</v>
      </c>
      <c r="F8">
        <v>28.06</v>
      </c>
      <c r="G8">
        <v>19.5</v>
      </c>
    </row>
    <row r="9" spans="1:7" x14ac:dyDescent="0.25">
      <c r="A9" s="38">
        <v>2023</v>
      </c>
      <c r="B9">
        <v>18.45</v>
      </c>
      <c r="C9">
        <v>20.66</v>
      </c>
      <c r="D9">
        <v>17.579999999999998</v>
      </c>
      <c r="E9">
        <v>19.36</v>
      </c>
      <c r="F9">
        <v>14.09</v>
      </c>
      <c r="G9">
        <v>18.027999999999999</v>
      </c>
    </row>
    <row r="10" spans="1:7" x14ac:dyDescent="0.25">
      <c r="A10" s="38">
        <v>2024</v>
      </c>
      <c r="B10">
        <v>8.34</v>
      </c>
      <c r="C10">
        <v>4.7</v>
      </c>
      <c r="D10">
        <v>6.85</v>
      </c>
      <c r="E10">
        <v>-2.4300000000000002</v>
      </c>
      <c r="F10">
        <v>-0.8</v>
      </c>
      <c r="G10">
        <v>3.3319999999999999</v>
      </c>
    </row>
    <row r="11" spans="1:7" x14ac:dyDescent="0.25">
      <c r="A11" s="38" t="s">
        <v>61</v>
      </c>
      <c r="B11">
        <v>12.806000000000001</v>
      </c>
      <c r="C11">
        <v>13.382</v>
      </c>
      <c r="D11">
        <v>10.6</v>
      </c>
      <c r="E11">
        <v>8.734</v>
      </c>
      <c r="F11">
        <v>9.2479999999999993</v>
      </c>
      <c r="G11">
        <v>10.954000000000001</v>
      </c>
    </row>
    <row r="32" spans="1:2" x14ac:dyDescent="0.25">
      <c r="A32" s="37" t="s">
        <v>63</v>
      </c>
      <c r="B32" s="37" t="s">
        <v>60</v>
      </c>
    </row>
    <row r="33" spans="1:7" x14ac:dyDescent="0.25">
      <c r="A33" s="37" t="s">
        <v>62</v>
      </c>
      <c r="B33" t="s">
        <v>0</v>
      </c>
      <c r="C33" t="s">
        <v>1</v>
      </c>
      <c r="D33" t="s">
        <v>2</v>
      </c>
      <c r="E33" t="s">
        <v>3</v>
      </c>
      <c r="F33" t="s">
        <v>4</v>
      </c>
      <c r="G33" t="s">
        <v>61</v>
      </c>
    </row>
    <row r="34" spans="1:7" x14ac:dyDescent="0.25">
      <c r="A34" s="38">
        <v>2019</v>
      </c>
      <c r="B34" t="e">
        <v>#DIV/0!</v>
      </c>
      <c r="C34" t="e">
        <v>#DIV/0!</v>
      </c>
      <c r="D34" t="e">
        <v>#DIV/0!</v>
      </c>
      <c r="E34" t="e">
        <v>#DIV/0!</v>
      </c>
      <c r="G34" t="e">
        <v>#DIV/0!</v>
      </c>
    </row>
    <row r="35" spans="1:7" x14ac:dyDescent="0.25">
      <c r="A35" s="38">
        <v>2020</v>
      </c>
      <c r="B35">
        <v>20.420000000000002</v>
      </c>
      <c r="C35">
        <v>8.59</v>
      </c>
      <c r="D35">
        <v>6.56</v>
      </c>
      <c r="E35">
        <v>0.25</v>
      </c>
      <c r="F35">
        <v>5.69</v>
      </c>
      <c r="G35">
        <v>8.3019999999999996</v>
      </c>
    </row>
    <row r="36" spans="1:7" x14ac:dyDescent="0.25">
      <c r="A36" s="38">
        <v>2021</v>
      </c>
      <c r="B36">
        <v>17.010000000000002</v>
      </c>
      <c r="C36">
        <v>19.95</v>
      </c>
      <c r="D36">
        <v>3.73</v>
      </c>
      <c r="E36">
        <v>12.13</v>
      </c>
      <c r="F36">
        <v>13.87</v>
      </c>
      <c r="G36">
        <v>13.337999999999999</v>
      </c>
    </row>
    <row r="37" spans="1:7" x14ac:dyDescent="0.25">
      <c r="A37" s="38">
        <v>2022</v>
      </c>
      <c r="B37">
        <v>2.96</v>
      </c>
      <c r="C37">
        <v>12.43</v>
      </c>
      <c r="D37">
        <v>17.84</v>
      </c>
      <c r="E37">
        <v>18.43</v>
      </c>
      <c r="F37">
        <v>9.5500000000000007</v>
      </c>
      <c r="G37">
        <v>12.242000000000001</v>
      </c>
    </row>
    <row r="38" spans="1:7" x14ac:dyDescent="0.25">
      <c r="A38" s="38">
        <v>2023</v>
      </c>
      <c r="B38">
        <v>11.22</v>
      </c>
      <c r="C38">
        <v>12.05</v>
      </c>
      <c r="D38">
        <v>9.83</v>
      </c>
      <c r="E38">
        <v>-4.07</v>
      </c>
      <c r="F38">
        <v>1.92</v>
      </c>
      <c r="G38">
        <v>6.19</v>
      </c>
    </row>
    <row r="39" spans="1:7" x14ac:dyDescent="0.25">
      <c r="A39" s="38">
        <v>2024</v>
      </c>
      <c r="B39">
        <v>7.06</v>
      </c>
      <c r="C39">
        <v>8.73</v>
      </c>
      <c r="D39">
        <v>8.02</v>
      </c>
      <c r="E39">
        <v>-38.01</v>
      </c>
      <c r="F39">
        <v>1.1499999999999999</v>
      </c>
      <c r="G39">
        <v>-2.61</v>
      </c>
    </row>
    <row r="40" spans="1:7" x14ac:dyDescent="0.25">
      <c r="A40" s="38" t="s">
        <v>61</v>
      </c>
      <c r="B40">
        <v>11.734000000000002</v>
      </c>
      <c r="C40">
        <v>12.35</v>
      </c>
      <c r="D40">
        <v>9.1960000000000015</v>
      </c>
      <c r="E40">
        <v>-2.2539999999999991</v>
      </c>
      <c r="F40">
        <v>6.4359999999999999</v>
      </c>
      <c r="G40">
        <v>7.4923999999999999</v>
      </c>
    </row>
  </sheetData>
  <pageMargins left="0.7" right="0.7" top="0.75" bottom="0.75" header="0.3" footer="0.3"/>
  <drawing r:id="rId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3C2B12-B019-434E-89C8-FCE7382FE8B0}">
  <sheetPr>
    <tabColor rgb="FFFFC000"/>
  </sheetPr>
  <dimension ref="A3:G11"/>
  <sheetViews>
    <sheetView showGridLines="0" workbookViewId="0">
      <selection activeCell="K38" sqref="K38"/>
    </sheetView>
  </sheetViews>
  <sheetFormatPr defaultRowHeight="13.8" x14ac:dyDescent="0.25"/>
  <cols>
    <col min="1" max="1" width="35" bestFit="1" customWidth="1"/>
    <col min="2" max="2" width="16.5546875" bestFit="1" customWidth="1"/>
    <col min="3" max="3" width="12" bestFit="1" customWidth="1"/>
    <col min="4" max="4" width="6" bestFit="1" customWidth="1"/>
    <col min="5" max="5" width="14.33203125" bestFit="1" customWidth="1"/>
    <col min="6" max="7" width="12" bestFit="1" customWidth="1"/>
  </cols>
  <sheetData>
    <row r="3" spans="1:7" x14ac:dyDescent="0.25">
      <c r="A3" s="37" t="s">
        <v>69</v>
      </c>
      <c r="B3" s="37" t="s">
        <v>60</v>
      </c>
    </row>
    <row r="4" spans="1:7" x14ac:dyDescent="0.25">
      <c r="A4" s="37" t="s">
        <v>62</v>
      </c>
      <c r="B4" t="s">
        <v>0</v>
      </c>
      <c r="C4" t="s">
        <v>1</v>
      </c>
      <c r="D4" t="s">
        <v>2</v>
      </c>
      <c r="E4" t="s">
        <v>3</v>
      </c>
      <c r="F4" t="s">
        <v>4</v>
      </c>
      <c r="G4" t="s">
        <v>61</v>
      </c>
    </row>
    <row r="5" spans="1:7" x14ac:dyDescent="0.25">
      <c r="A5" s="38">
        <v>2019</v>
      </c>
      <c r="B5" s="46">
        <v>15.76</v>
      </c>
      <c r="C5" s="46">
        <v>21.57</v>
      </c>
      <c r="D5" s="46">
        <v>38.21</v>
      </c>
      <c r="E5" s="46">
        <v>9.06</v>
      </c>
      <c r="F5" s="46">
        <v>15.4</v>
      </c>
      <c r="G5" s="46">
        <v>20</v>
      </c>
    </row>
    <row r="6" spans="1:7" x14ac:dyDescent="0.25">
      <c r="A6" s="38">
        <v>2020</v>
      </c>
      <c r="B6" s="46">
        <v>16.97</v>
      </c>
      <c r="C6" s="46">
        <v>21.8</v>
      </c>
      <c r="D6" s="46">
        <v>37.69</v>
      </c>
      <c r="E6" s="46">
        <v>8.85</v>
      </c>
      <c r="F6" s="46">
        <v>14.68</v>
      </c>
      <c r="G6" s="46">
        <v>19.997999999999998</v>
      </c>
    </row>
    <row r="7" spans="1:7" x14ac:dyDescent="0.25">
      <c r="A7" s="38">
        <v>2021</v>
      </c>
      <c r="B7" s="46">
        <v>17.14</v>
      </c>
      <c r="C7" s="46">
        <v>22.84</v>
      </c>
      <c r="D7" s="46">
        <v>37.33</v>
      </c>
      <c r="E7" s="46">
        <v>8.61</v>
      </c>
      <c r="F7" s="46">
        <v>14.08</v>
      </c>
      <c r="G7" s="46">
        <v>20</v>
      </c>
    </row>
    <row r="8" spans="1:7" x14ac:dyDescent="0.25">
      <c r="A8" s="38">
        <v>2022</v>
      </c>
      <c r="B8" s="46">
        <v>16.38</v>
      </c>
      <c r="C8" s="46">
        <v>23.26</v>
      </c>
      <c r="D8" s="46">
        <v>36.659999999999997</v>
      </c>
      <c r="E8" s="46">
        <v>8.5399999999999991</v>
      </c>
      <c r="F8" s="46">
        <v>15.16</v>
      </c>
      <c r="G8" s="46">
        <v>20</v>
      </c>
    </row>
    <row r="9" spans="1:7" x14ac:dyDescent="0.25">
      <c r="A9" s="38">
        <v>2023</v>
      </c>
      <c r="B9" s="46">
        <v>16.43</v>
      </c>
      <c r="C9" s="46">
        <v>23.77</v>
      </c>
      <c r="D9" s="46">
        <v>36.51</v>
      </c>
      <c r="E9" s="46">
        <v>8.6300000000000008</v>
      </c>
      <c r="F9" s="46">
        <v>14.65</v>
      </c>
      <c r="G9" s="46">
        <v>19.998000000000001</v>
      </c>
    </row>
    <row r="10" spans="1:7" x14ac:dyDescent="0.25">
      <c r="A10" s="38">
        <v>2024</v>
      </c>
      <c r="B10" s="46">
        <v>17.010000000000002</v>
      </c>
      <c r="C10" s="46">
        <v>23.78</v>
      </c>
      <c r="D10" s="46">
        <v>37.28</v>
      </c>
      <c r="E10" s="46">
        <v>8.0500000000000007</v>
      </c>
      <c r="F10" s="46">
        <v>13.89</v>
      </c>
      <c r="G10" s="46">
        <v>20.002000000000002</v>
      </c>
    </row>
    <row r="11" spans="1:7" x14ac:dyDescent="0.25">
      <c r="A11" s="38" t="s">
        <v>61</v>
      </c>
      <c r="B11" s="46">
        <v>16.615000000000002</v>
      </c>
      <c r="C11" s="46">
        <v>22.83666666666667</v>
      </c>
      <c r="D11" s="46">
        <v>37.279999999999994</v>
      </c>
      <c r="E11" s="46">
        <v>8.6233333333333348</v>
      </c>
      <c r="F11" s="46">
        <v>14.643333333333333</v>
      </c>
      <c r="G11" s="46">
        <v>19.999666666666666</v>
      </c>
    </row>
  </sheetData>
  <pageMargins left="0.7" right="0.7" top="0.75" bottom="0.75" header="0.3" footer="0.3"/>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E2C96C-3B24-424B-A72F-50F16907F033}">
  <sheetPr>
    <tabColor rgb="FFFFC000"/>
  </sheetPr>
  <dimension ref="A3:G11"/>
  <sheetViews>
    <sheetView showGridLines="0" workbookViewId="0">
      <selection activeCell="J60" sqref="J60"/>
    </sheetView>
  </sheetViews>
  <sheetFormatPr defaultRowHeight="13.8" x14ac:dyDescent="0.25"/>
  <cols>
    <col min="1" max="1" width="17.6640625" bestFit="1" customWidth="1"/>
    <col min="2" max="2" width="16.5546875" bestFit="1" customWidth="1"/>
    <col min="3" max="3" width="7.21875" bestFit="1" customWidth="1"/>
    <col min="4" max="4" width="5" bestFit="1" customWidth="1"/>
    <col min="5" max="5" width="14.33203125" bestFit="1" customWidth="1"/>
    <col min="6" max="6" width="6.44140625" bestFit="1" customWidth="1"/>
    <col min="7" max="7" width="11.6640625" bestFit="1" customWidth="1"/>
  </cols>
  <sheetData>
    <row r="3" spans="1:7" x14ac:dyDescent="0.25">
      <c r="A3" s="37" t="s">
        <v>70</v>
      </c>
      <c r="B3" s="37" t="s">
        <v>60</v>
      </c>
    </row>
    <row r="4" spans="1:7" x14ac:dyDescent="0.25">
      <c r="A4" s="37" t="s">
        <v>62</v>
      </c>
      <c r="B4" t="s">
        <v>0</v>
      </c>
      <c r="C4" t="s">
        <v>1</v>
      </c>
      <c r="D4" t="s">
        <v>2</v>
      </c>
      <c r="E4" t="s">
        <v>3</v>
      </c>
      <c r="F4" t="s">
        <v>4</v>
      </c>
      <c r="G4" t="s">
        <v>61</v>
      </c>
    </row>
    <row r="5" spans="1:7" x14ac:dyDescent="0.25">
      <c r="A5" s="38">
        <v>2019</v>
      </c>
      <c r="B5" s="46">
        <v>0.13</v>
      </c>
      <c r="C5" s="46">
        <v>0.23</v>
      </c>
      <c r="D5" s="46">
        <v>0.11</v>
      </c>
      <c r="E5" s="46">
        <v>7.0000000000000007E-2</v>
      </c>
      <c r="F5" s="46">
        <v>0.19</v>
      </c>
      <c r="G5" s="46">
        <v>0.73</v>
      </c>
    </row>
    <row r="6" spans="1:7" x14ac:dyDescent="0.25">
      <c r="A6" s="38">
        <v>2020</v>
      </c>
      <c r="B6" s="46">
        <v>0.06</v>
      </c>
      <c r="C6" s="46">
        <v>0.2</v>
      </c>
      <c r="D6" s="46">
        <v>0.08</v>
      </c>
      <c r="E6" s="46">
        <v>0.08</v>
      </c>
      <c r="F6" s="46">
        <v>0.18</v>
      </c>
      <c r="G6" s="46">
        <v>0.60000000000000009</v>
      </c>
    </row>
    <row r="7" spans="1:7" x14ac:dyDescent="0.25">
      <c r="A7" s="38">
        <v>2021</v>
      </c>
      <c r="B7" s="46">
        <v>0.1</v>
      </c>
      <c r="C7" s="46">
        <v>0.23</v>
      </c>
      <c r="D7" s="46">
        <v>7.0000000000000007E-2</v>
      </c>
      <c r="E7" s="46">
        <v>7.0000000000000007E-2</v>
      </c>
      <c r="F7" s="46">
        <v>0.21</v>
      </c>
      <c r="G7" s="46">
        <v>0.68</v>
      </c>
    </row>
    <row r="8" spans="1:7" x14ac:dyDescent="0.25">
      <c r="A8" s="38">
        <v>2022</v>
      </c>
      <c r="B8" s="46">
        <v>0.14000000000000001</v>
      </c>
      <c r="C8" s="46">
        <v>0.15</v>
      </c>
      <c r="D8" s="46">
        <v>0.13</v>
      </c>
      <c r="E8" s="46">
        <v>0.09</v>
      </c>
      <c r="F8" s="46">
        <v>0.1</v>
      </c>
      <c r="G8" s="46">
        <v>0.61</v>
      </c>
    </row>
    <row r="9" spans="1:7" x14ac:dyDescent="0.25">
      <c r="A9" s="38">
        <v>2023</v>
      </c>
      <c r="B9" s="46">
        <v>0.16</v>
      </c>
      <c r="C9" s="46">
        <v>0.1</v>
      </c>
      <c r="D9" s="46">
        <v>0.08</v>
      </c>
      <c r="E9" s="46">
        <v>0.09</v>
      </c>
      <c r="F9" s="46">
        <v>0.08</v>
      </c>
      <c r="G9" s="46">
        <v>0.51</v>
      </c>
    </row>
    <row r="10" spans="1:7" x14ac:dyDescent="0.25">
      <c r="A10" s="38">
        <v>2024</v>
      </c>
      <c r="B10" s="46">
        <v>0.2</v>
      </c>
      <c r="C10" s="46">
        <v>0.11</v>
      </c>
      <c r="D10" s="46">
        <v>0.09</v>
      </c>
      <c r="E10" s="46">
        <v>0.11</v>
      </c>
      <c r="F10" s="46">
        <v>0.08</v>
      </c>
      <c r="G10" s="46">
        <v>0.59</v>
      </c>
    </row>
    <row r="11" spans="1:7" x14ac:dyDescent="0.25">
      <c r="A11" s="38" t="s">
        <v>61</v>
      </c>
      <c r="B11" s="46">
        <v>0.79</v>
      </c>
      <c r="C11" s="46">
        <v>1.02</v>
      </c>
      <c r="D11" s="46">
        <v>0.56000000000000005</v>
      </c>
      <c r="E11" s="46">
        <v>0.51</v>
      </c>
      <c r="F11" s="46">
        <v>0.83999999999999986</v>
      </c>
      <c r="G11" s="46">
        <v>3.7199999999999998</v>
      </c>
    </row>
  </sheetData>
  <pageMargins left="0.7" right="0.7" top="0.75" bottom="0.75" header="0.3" footer="0.3"/>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BDCEA0-53DE-4751-9D15-7C8F94CE4487}">
  <dimension ref="A1:AW6"/>
  <sheetViews>
    <sheetView showGridLines="0" zoomScale="63" workbookViewId="0">
      <selection activeCell="AX2" sqref="AX2"/>
    </sheetView>
  </sheetViews>
  <sheetFormatPr defaultRowHeight="13.8" x14ac:dyDescent="0.25"/>
  <cols>
    <col min="10" max="10" width="15.5546875" customWidth="1"/>
    <col min="24" max="24" width="4.6640625" customWidth="1"/>
    <col min="35" max="35" width="5.88671875" customWidth="1"/>
    <col min="48" max="48" width="11.88671875" customWidth="1"/>
    <col min="49" max="49" width="1.33203125" customWidth="1"/>
  </cols>
  <sheetData>
    <row r="1" spans="1:49" ht="13.8" customHeight="1" x14ac:dyDescent="0.25">
      <c r="A1" s="69" t="s">
        <v>89</v>
      </c>
      <c r="B1" s="69"/>
      <c r="C1" s="69"/>
      <c r="D1" s="69"/>
      <c r="E1" s="69"/>
      <c r="F1" s="69"/>
      <c r="G1" s="69"/>
      <c r="H1" s="69"/>
      <c r="I1" s="69"/>
      <c r="J1" s="69"/>
      <c r="K1" s="69"/>
      <c r="L1" s="69"/>
      <c r="M1" s="69"/>
      <c r="N1" s="69"/>
      <c r="O1" s="69"/>
      <c r="P1" s="69"/>
      <c r="Q1" s="69"/>
      <c r="R1" s="69"/>
      <c r="S1" s="69"/>
      <c r="T1" s="69"/>
      <c r="U1" s="69"/>
      <c r="V1" s="69"/>
      <c r="W1" s="69"/>
      <c r="X1" s="69"/>
      <c r="Y1" s="69"/>
      <c r="Z1" s="69"/>
      <c r="AA1" s="69"/>
      <c r="AB1" s="69"/>
      <c r="AC1" s="69"/>
      <c r="AD1" s="69"/>
      <c r="AE1" s="69"/>
      <c r="AF1" s="69"/>
      <c r="AG1" s="69"/>
      <c r="AH1" s="69"/>
      <c r="AI1" s="69"/>
      <c r="AJ1" s="69"/>
      <c r="AK1" s="69"/>
      <c r="AL1" s="69"/>
      <c r="AM1" s="69"/>
      <c r="AN1" s="69"/>
      <c r="AO1" s="69"/>
      <c r="AP1" s="69"/>
      <c r="AQ1" s="69"/>
      <c r="AR1" s="69"/>
      <c r="AS1" s="69"/>
      <c r="AT1" s="69"/>
      <c r="AU1" s="69"/>
      <c r="AV1" s="69"/>
      <c r="AW1" s="69"/>
    </row>
    <row r="2" spans="1:49" ht="13.8" customHeight="1" x14ac:dyDescent="0.25">
      <c r="A2" s="69"/>
      <c r="B2" s="69"/>
      <c r="C2" s="69"/>
      <c r="D2" s="69"/>
      <c r="E2" s="69"/>
      <c r="F2" s="69"/>
      <c r="G2" s="69"/>
      <c r="H2" s="69"/>
      <c r="I2" s="69"/>
      <c r="J2" s="69"/>
      <c r="K2" s="69"/>
      <c r="L2" s="69"/>
      <c r="M2" s="69"/>
      <c r="N2" s="69"/>
      <c r="O2" s="69"/>
      <c r="P2" s="69"/>
      <c r="Q2" s="69"/>
      <c r="R2" s="69"/>
      <c r="S2" s="69"/>
      <c r="T2" s="69"/>
      <c r="U2" s="69"/>
      <c r="V2" s="69"/>
      <c r="W2" s="69"/>
      <c r="X2" s="69"/>
      <c r="Y2" s="69"/>
      <c r="Z2" s="69"/>
      <c r="AA2" s="69"/>
      <c r="AB2" s="69"/>
      <c r="AC2" s="69"/>
      <c r="AD2" s="69"/>
      <c r="AE2" s="69"/>
      <c r="AF2" s="69"/>
      <c r="AG2" s="69"/>
      <c r="AH2" s="69"/>
      <c r="AI2" s="69"/>
      <c r="AJ2" s="69"/>
      <c r="AK2" s="69"/>
      <c r="AL2" s="69"/>
      <c r="AM2" s="69"/>
      <c r="AN2" s="69"/>
      <c r="AO2" s="69"/>
      <c r="AP2" s="69"/>
      <c r="AQ2" s="69"/>
      <c r="AR2" s="69"/>
      <c r="AS2" s="69"/>
      <c r="AT2" s="69"/>
      <c r="AU2" s="69"/>
      <c r="AV2" s="69"/>
      <c r="AW2" s="69"/>
    </row>
    <row r="3" spans="1:49" ht="27.6" customHeight="1" x14ac:dyDescent="0.25">
      <c r="A3" s="69"/>
      <c r="B3" s="69"/>
      <c r="C3" s="69"/>
      <c r="D3" s="69"/>
      <c r="E3" s="69"/>
      <c r="F3" s="69"/>
      <c r="G3" s="69"/>
      <c r="H3" s="69"/>
      <c r="I3" s="69"/>
      <c r="J3" s="69"/>
      <c r="K3" s="69"/>
      <c r="L3" s="69"/>
      <c r="M3" s="69"/>
      <c r="N3" s="69"/>
      <c r="O3" s="69"/>
      <c r="P3" s="69"/>
      <c r="Q3" s="69"/>
      <c r="R3" s="69"/>
      <c r="S3" s="69"/>
      <c r="T3" s="69"/>
      <c r="U3" s="69"/>
      <c r="V3" s="69"/>
      <c r="W3" s="69"/>
      <c r="X3" s="69"/>
      <c r="Y3" s="69"/>
      <c r="Z3" s="69"/>
      <c r="AA3" s="69"/>
      <c r="AB3" s="69"/>
      <c r="AC3" s="69"/>
      <c r="AD3" s="69"/>
      <c r="AE3" s="69"/>
      <c r="AF3" s="69"/>
      <c r="AG3" s="69"/>
      <c r="AH3" s="69"/>
      <c r="AI3" s="69"/>
      <c r="AJ3" s="69"/>
      <c r="AK3" s="69"/>
      <c r="AL3" s="69"/>
      <c r="AM3" s="69"/>
      <c r="AN3" s="69"/>
      <c r="AO3" s="69"/>
      <c r="AP3" s="69"/>
      <c r="AQ3" s="69"/>
      <c r="AR3" s="69"/>
      <c r="AS3" s="69"/>
      <c r="AT3" s="69"/>
      <c r="AU3" s="69"/>
      <c r="AV3" s="69"/>
      <c r="AW3" s="69"/>
    </row>
    <row r="4" spans="1:49" ht="13.8" customHeight="1" x14ac:dyDescent="0.25">
      <c r="A4" s="70" t="s">
        <v>90</v>
      </c>
      <c r="B4" s="70"/>
      <c r="C4" s="70"/>
      <c r="D4" s="70"/>
      <c r="E4" s="70"/>
      <c r="F4" s="70"/>
      <c r="G4" s="70"/>
      <c r="H4" s="70"/>
      <c r="I4" s="70"/>
      <c r="J4" s="70"/>
      <c r="M4" s="70" t="s">
        <v>91</v>
      </c>
      <c r="N4" s="70"/>
      <c r="O4" s="70"/>
      <c r="P4" s="70"/>
      <c r="Q4" s="70"/>
      <c r="R4" s="70"/>
      <c r="S4" s="70"/>
      <c r="T4" s="70"/>
      <c r="U4" s="70"/>
      <c r="V4" s="70"/>
      <c r="W4" s="70"/>
      <c r="X4" s="70"/>
      <c r="Z4" s="70" t="s">
        <v>92</v>
      </c>
      <c r="AA4" s="70"/>
      <c r="AB4" s="70"/>
      <c r="AC4" s="70"/>
      <c r="AD4" s="70"/>
      <c r="AE4" s="70"/>
      <c r="AF4" s="70"/>
      <c r="AG4" s="70"/>
      <c r="AH4" s="70"/>
      <c r="AI4" s="70"/>
      <c r="AK4" s="70" t="s">
        <v>93</v>
      </c>
      <c r="AL4" s="70"/>
      <c r="AM4" s="70"/>
      <c r="AN4" s="70"/>
      <c r="AO4" s="70"/>
      <c r="AP4" s="70"/>
      <c r="AQ4" s="70"/>
      <c r="AR4" s="70"/>
      <c r="AS4" s="70"/>
      <c r="AT4" s="70"/>
      <c r="AU4" s="70"/>
      <c r="AV4" s="70"/>
    </row>
    <row r="5" spans="1:49" s="45" customFormat="1" ht="13.8" customHeight="1" x14ac:dyDescent="0.25">
      <c r="A5" s="70"/>
      <c r="B5" s="70"/>
      <c r="C5" s="70"/>
      <c r="D5" s="70"/>
      <c r="E5" s="70"/>
      <c r="F5" s="70"/>
      <c r="G5" s="70"/>
      <c r="H5" s="70"/>
      <c r="I5" s="70"/>
      <c r="J5" s="70"/>
      <c r="M5" s="70"/>
      <c r="N5" s="70"/>
      <c r="O5" s="70"/>
      <c r="P5" s="70"/>
      <c r="Q5" s="70"/>
      <c r="R5" s="70"/>
      <c r="S5" s="70"/>
      <c r="T5" s="70"/>
      <c r="U5" s="70"/>
      <c r="V5" s="70"/>
      <c r="W5" s="70"/>
      <c r="X5" s="70"/>
      <c r="Z5" s="70"/>
      <c r="AA5" s="70"/>
      <c r="AB5" s="70"/>
      <c r="AC5" s="70"/>
      <c r="AD5" s="70"/>
      <c r="AE5" s="70"/>
      <c r="AF5" s="70"/>
      <c r="AG5" s="70"/>
      <c r="AH5" s="70"/>
      <c r="AI5" s="70"/>
      <c r="AK5" s="70"/>
      <c r="AL5" s="70"/>
      <c r="AM5" s="70"/>
      <c r="AN5" s="70"/>
      <c r="AO5" s="70"/>
      <c r="AP5" s="70"/>
      <c r="AQ5" s="70"/>
      <c r="AR5" s="70"/>
      <c r="AS5" s="70"/>
      <c r="AT5" s="70"/>
      <c r="AU5" s="70"/>
      <c r="AV5" s="70"/>
    </row>
    <row r="6" spans="1:49" s="45" customFormat="1" x14ac:dyDescent="0.25"/>
  </sheetData>
  <mergeCells count="5">
    <mergeCell ref="A1:AW3"/>
    <mergeCell ref="A4:J5"/>
    <mergeCell ref="M4:X5"/>
    <mergeCell ref="Z4:AI5"/>
    <mergeCell ref="AK4:AV5"/>
  </mergeCell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6D607A-C330-44B6-B4A2-ADEE370DBA96}">
  <sheetPr>
    <tabColor rgb="FFFFFF00"/>
  </sheetPr>
  <dimension ref="A1:H19"/>
  <sheetViews>
    <sheetView showGridLines="0" workbookViewId="0">
      <selection activeCell="A3" sqref="A3:H4"/>
    </sheetView>
  </sheetViews>
  <sheetFormatPr defaultRowHeight="13.8" x14ac:dyDescent="0.25"/>
  <cols>
    <col min="1" max="1" width="30.5546875" bestFit="1" customWidth="1"/>
    <col min="2" max="3" width="9.5546875" bestFit="1" customWidth="1"/>
    <col min="4" max="4" width="10" bestFit="1" customWidth="1"/>
    <col min="6" max="6" width="14.33203125" bestFit="1" customWidth="1"/>
    <col min="7" max="7" width="10.33203125" customWidth="1"/>
    <col min="8" max="8" width="13.44140625" bestFit="1" customWidth="1"/>
  </cols>
  <sheetData>
    <row r="1" spans="1:8" x14ac:dyDescent="0.25">
      <c r="A1" s="40" t="s">
        <v>71</v>
      </c>
      <c r="B1" s="40"/>
      <c r="C1" s="40"/>
      <c r="D1" s="40"/>
      <c r="E1" s="40"/>
      <c r="F1" s="40"/>
      <c r="G1" s="40"/>
      <c r="H1" s="40"/>
    </row>
    <row r="2" spans="1:8" x14ac:dyDescent="0.25">
      <c r="A2" s="40"/>
      <c r="B2" s="40"/>
      <c r="C2" s="40"/>
      <c r="D2" s="40"/>
      <c r="E2" s="40"/>
      <c r="F2" s="40"/>
      <c r="G2" s="40"/>
      <c r="H2" s="40"/>
    </row>
    <row r="3" spans="1:8" x14ac:dyDescent="0.25">
      <c r="A3" s="42" t="s">
        <v>72</v>
      </c>
      <c r="B3" s="42"/>
      <c r="C3" s="42"/>
      <c r="D3" s="42"/>
      <c r="E3" s="42"/>
      <c r="F3" s="42"/>
      <c r="G3" s="42"/>
      <c r="H3" s="42"/>
    </row>
    <row r="4" spans="1:8" x14ac:dyDescent="0.25">
      <c r="A4" s="42"/>
      <c r="B4" s="42"/>
      <c r="C4" s="42"/>
      <c r="D4" s="42"/>
      <c r="E4" s="42"/>
      <c r="F4" s="42"/>
      <c r="G4" s="42"/>
      <c r="H4" s="42"/>
    </row>
    <row r="5" spans="1:8" x14ac:dyDescent="0.25">
      <c r="A5" s="47" t="s">
        <v>43</v>
      </c>
      <c r="B5" s="47" t="s">
        <v>2</v>
      </c>
      <c r="C5" s="47" t="s">
        <v>1</v>
      </c>
      <c r="D5" s="47" t="s">
        <v>0</v>
      </c>
      <c r="E5" s="47" t="s">
        <v>4</v>
      </c>
      <c r="F5" s="47" t="s">
        <v>3</v>
      </c>
      <c r="G5" s="47" t="s">
        <v>44</v>
      </c>
      <c r="H5" s="47" t="s">
        <v>45</v>
      </c>
    </row>
    <row r="6" spans="1:8" x14ac:dyDescent="0.25">
      <c r="A6" s="48" t="s">
        <v>48</v>
      </c>
      <c r="B6" s="49">
        <f>Liquidity!F23</f>
        <v>240893</v>
      </c>
      <c r="C6" s="7">
        <f>Liquidity!F17</f>
        <v>153670</v>
      </c>
      <c r="D6" s="7">
        <f>Liquidity!F11</f>
        <v>109913</v>
      </c>
      <c r="E6" s="7">
        <f>Liquidity!F35</f>
        <v>89760.3</v>
      </c>
      <c r="F6" s="50">
        <f>Liquidity!F29</f>
        <v>51995.5</v>
      </c>
      <c r="G6" s="51" t="s">
        <v>2</v>
      </c>
      <c r="H6" s="52" t="s">
        <v>3</v>
      </c>
    </row>
    <row r="7" spans="1:8" x14ac:dyDescent="0.25">
      <c r="A7" s="48" t="s">
        <v>47</v>
      </c>
      <c r="B7" s="49">
        <f>Liquidity!F18</f>
        <v>146463</v>
      </c>
      <c r="C7" s="7">
        <f>Liquidity!F12</f>
        <v>82675</v>
      </c>
      <c r="D7" s="7">
        <f>Liquidity!F6</f>
        <v>60427</v>
      </c>
      <c r="E7" s="7">
        <f>Liquidity!F30</f>
        <v>59018.9</v>
      </c>
      <c r="F7" s="50">
        <f>Liquidity!F24</f>
        <v>34742.1</v>
      </c>
      <c r="G7" s="51" t="s">
        <v>2</v>
      </c>
      <c r="H7" s="52" t="s">
        <v>3</v>
      </c>
    </row>
    <row r="8" spans="1:8" x14ac:dyDescent="0.25">
      <c r="A8" s="48" t="s">
        <v>46</v>
      </c>
      <c r="B8" s="49">
        <f>'Financial Health'!E23</f>
        <v>45908</v>
      </c>
      <c r="C8" s="7">
        <f>'Financial Health'!E17</f>
        <v>26233</v>
      </c>
      <c r="D8" s="7">
        <f>'Financial Health'!E11</f>
        <v>15702</v>
      </c>
      <c r="E8" s="7">
        <f>'Financial Health'!E35</f>
        <v>11045.2</v>
      </c>
      <c r="F8" s="50">
        <f>'Financial Health'!E29</f>
        <v>2357.8000000000002</v>
      </c>
      <c r="G8" s="51" t="s">
        <v>2</v>
      </c>
      <c r="H8" s="52" t="s">
        <v>3</v>
      </c>
    </row>
    <row r="9" spans="1:8" x14ac:dyDescent="0.25">
      <c r="A9" s="48" t="s">
        <v>49</v>
      </c>
      <c r="B9" s="51">
        <f>Profitability!F23</f>
        <v>19.059999999999999</v>
      </c>
      <c r="C9" s="1">
        <f>Profitability!F17</f>
        <v>17.07</v>
      </c>
      <c r="D9" s="1">
        <f>Profitability!F11</f>
        <v>14.29</v>
      </c>
      <c r="E9" s="1">
        <f>Profitability!F35</f>
        <v>12.31</v>
      </c>
      <c r="F9" s="52">
        <f>Profitability!F29</f>
        <v>4.53</v>
      </c>
      <c r="G9" s="51" t="s">
        <v>2</v>
      </c>
      <c r="H9" s="52" t="s">
        <v>3</v>
      </c>
    </row>
    <row r="10" spans="1:8" x14ac:dyDescent="0.25">
      <c r="A10" s="48" t="s">
        <v>50</v>
      </c>
      <c r="B10" s="51">
        <f>Profitability!F18</f>
        <v>21.49</v>
      </c>
      <c r="C10" s="1">
        <f>Profitability!F12</f>
        <v>18.63</v>
      </c>
      <c r="D10" s="1">
        <f>Table2[[#This Row],[Net Profit Margin (%)]]</f>
        <v>14.64</v>
      </c>
      <c r="E10" s="1">
        <f>Profitability!F30</f>
        <v>15.26</v>
      </c>
      <c r="F10" s="52">
        <f>Profitability!F24</f>
        <v>12.37</v>
      </c>
      <c r="G10" s="51" t="s">
        <v>2</v>
      </c>
      <c r="H10" s="52" t="s">
        <v>3</v>
      </c>
    </row>
    <row r="11" spans="1:8" x14ac:dyDescent="0.25">
      <c r="A11" s="48" t="s">
        <v>51</v>
      </c>
      <c r="B11" s="51">
        <f>Profitability!G23</f>
        <v>28.05</v>
      </c>
      <c r="C11" s="1">
        <f>Profitability!G17</f>
        <v>26.76</v>
      </c>
      <c r="D11" s="1">
        <f>Profitability!G11</f>
        <v>23.37</v>
      </c>
      <c r="E11" s="1">
        <f>Profitability!G35</f>
        <v>21.52</v>
      </c>
      <c r="F11" s="52">
        <f>Profitability!G29</f>
        <v>10.38</v>
      </c>
      <c r="G11" s="51" t="s">
        <v>2</v>
      </c>
      <c r="H11" s="52" t="s">
        <v>3</v>
      </c>
    </row>
    <row r="12" spans="1:8" x14ac:dyDescent="0.25">
      <c r="A12" s="48" t="s">
        <v>52</v>
      </c>
      <c r="B12" s="51">
        <f>'Financial Health'!H23</f>
        <v>50.73</v>
      </c>
      <c r="C12" s="1">
        <f>'Financial Health'!H17</f>
        <v>29.77</v>
      </c>
      <c r="D12" s="1">
        <f>'Financial Health'!H11</f>
        <v>23</v>
      </c>
      <c r="E12" s="1">
        <f>'Financial Health'!H35</f>
        <v>14.73</v>
      </c>
      <c r="F12" s="52">
        <f>'Financial Health'!H29</f>
        <v>8.84</v>
      </c>
      <c r="G12" s="51" t="s">
        <v>2</v>
      </c>
      <c r="H12" s="52" t="s">
        <v>3</v>
      </c>
    </row>
    <row r="13" spans="1:8" x14ac:dyDescent="0.25">
      <c r="A13" s="48" t="s">
        <v>53</v>
      </c>
      <c r="B13" s="51">
        <f>'Financial Health'!I23</f>
        <v>31.56</v>
      </c>
      <c r="C13" s="1">
        <f>'Financial Health'!I17</f>
        <v>19.100000000000001</v>
      </c>
      <c r="D13" s="1">
        <f>'Financial Health'!I11</f>
        <v>15.86</v>
      </c>
      <c r="E13" s="1">
        <f>'Financial Health'!I35</f>
        <v>9.6</v>
      </c>
      <c r="F13" s="52">
        <f>'Financial Health'!I29</f>
        <v>5.46</v>
      </c>
      <c r="G13" s="51" t="s">
        <v>2</v>
      </c>
      <c r="H13" s="52" t="s">
        <v>3</v>
      </c>
    </row>
    <row r="14" spans="1:8" x14ac:dyDescent="0.25">
      <c r="A14" s="48" t="s">
        <v>54</v>
      </c>
      <c r="B14" s="1">
        <f>'Financial Health'!G23</f>
        <v>0.09</v>
      </c>
      <c r="C14" s="1">
        <f>'Financial Health'!G17</f>
        <v>0.09</v>
      </c>
      <c r="D14" s="1">
        <f>'Financial Health'!G11</f>
        <v>0.08</v>
      </c>
      <c r="E14" s="52">
        <f>'Financial Health'!G35</f>
        <v>0.22</v>
      </c>
      <c r="F14" s="1">
        <f>'Financial Health'!G29</f>
        <v>0.1</v>
      </c>
      <c r="G14" s="51" t="s">
        <v>0</v>
      </c>
      <c r="H14" s="52" t="s">
        <v>4</v>
      </c>
    </row>
    <row r="15" spans="1:8" x14ac:dyDescent="0.25">
      <c r="A15" s="48" t="s">
        <v>55</v>
      </c>
      <c r="B15" s="51">
        <f>'Financial Health'!J23</f>
        <v>1.66</v>
      </c>
      <c r="C15" s="1">
        <f>'Financial Health'!J17</f>
        <v>1.1200000000000001</v>
      </c>
      <c r="D15" s="1">
        <f>Table3[[#This Row],[Asset Turnover]]</f>
        <v>1.04</v>
      </c>
      <c r="E15" s="1">
        <f>'Financial Health'!J35</f>
        <v>0.78</v>
      </c>
      <c r="F15" s="1">
        <f>'Financial Health'!J29</f>
        <v>1.21</v>
      </c>
      <c r="G15" s="51" t="s">
        <v>2</v>
      </c>
      <c r="H15" s="52" t="s">
        <v>4</v>
      </c>
    </row>
    <row r="16" spans="1:8" x14ac:dyDescent="0.25">
      <c r="A16" s="48" t="s">
        <v>56</v>
      </c>
      <c r="B16" s="51">
        <f>'Market Position'!D9</f>
        <v>37.28</v>
      </c>
      <c r="C16" s="1">
        <f>Table4[[#This Row],[Revenue Market Share (%)]]</f>
        <v>21.8</v>
      </c>
      <c r="D16" s="1">
        <f>'Market Position'!D19</f>
        <v>17.010000000000002</v>
      </c>
      <c r="E16" s="1">
        <f>'Market Position'!D29</f>
        <v>13.89</v>
      </c>
      <c r="F16" s="52">
        <f>'Market Position'!D35</f>
        <v>8.0500000000000007</v>
      </c>
      <c r="G16" s="51" t="s">
        <v>2</v>
      </c>
      <c r="H16" s="52" t="s">
        <v>3</v>
      </c>
    </row>
    <row r="17" spans="1:8" x14ac:dyDescent="0.25">
      <c r="A17" s="48" t="s">
        <v>57</v>
      </c>
      <c r="B17" s="51">
        <f>'Market Position'!D6</f>
        <v>38.21</v>
      </c>
      <c r="C17" s="1">
        <f>'Market Position'!D17</f>
        <v>21.57</v>
      </c>
      <c r="D17" s="1">
        <f>'Market Position'!D23</f>
        <v>15.76</v>
      </c>
      <c r="E17" s="1">
        <f>'Market Position'!D24</f>
        <v>15.4</v>
      </c>
      <c r="F17" s="52">
        <f>'Market Position'!D30</f>
        <v>9.06</v>
      </c>
      <c r="G17" s="51" t="s">
        <v>2</v>
      </c>
      <c r="H17" s="52" t="s">
        <v>3</v>
      </c>
    </row>
    <row r="18" spans="1:8" x14ac:dyDescent="0.25">
      <c r="A18" s="48" t="s">
        <v>59</v>
      </c>
      <c r="B18" s="1">
        <f>Liquidity!G23</f>
        <v>0.09</v>
      </c>
      <c r="C18" s="1">
        <f>Liquidity!G17</f>
        <v>0.11</v>
      </c>
      <c r="D18" s="51">
        <f>Liquidity!G11</f>
        <v>0.2</v>
      </c>
      <c r="E18" s="52">
        <f>Liquidity!G35</f>
        <v>0.08</v>
      </c>
      <c r="F18" s="1">
        <f>Liquidity!G29</f>
        <v>0.11</v>
      </c>
      <c r="G18" s="51" t="s">
        <v>0</v>
      </c>
      <c r="H18" s="52" t="s">
        <v>4</v>
      </c>
    </row>
    <row r="19" spans="1:8" x14ac:dyDescent="0.25">
      <c r="A19" s="48" t="s">
        <v>58</v>
      </c>
      <c r="B19" s="1">
        <f>Liquidity!H23</f>
        <v>22.24</v>
      </c>
      <c r="C19" s="1">
        <f>Liquidity!H17</f>
        <v>19.649999999999999</v>
      </c>
      <c r="D19" s="52">
        <f>Liquidity!H11</f>
        <v>23.22</v>
      </c>
      <c r="E19" s="51">
        <f>Liquidity!H35</f>
        <v>12.87</v>
      </c>
      <c r="F19" s="1">
        <f>Liquidity!H29</f>
        <v>21.93</v>
      </c>
      <c r="G19" s="51" t="s">
        <v>4</v>
      </c>
      <c r="H19" s="52" t="s">
        <v>0</v>
      </c>
    </row>
  </sheetData>
  <mergeCells count="2">
    <mergeCell ref="A1:H2"/>
    <mergeCell ref="A3:H4"/>
  </mergeCell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3CDD73-17CE-4A85-AC7E-5B478E5BB52A}">
  <sheetPr>
    <tabColor rgb="FF00B0F0"/>
  </sheetPr>
  <dimension ref="A1:I39"/>
  <sheetViews>
    <sheetView showGridLines="0" zoomScale="110" workbookViewId="0">
      <selection sqref="A1:I2"/>
    </sheetView>
  </sheetViews>
  <sheetFormatPr defaultRowHeight="13.8" x14ac:dyDescent="0.25"/>
  <cols>
    <col min="1" max="1" width="14.77734375" customWidth="1"/>
  </cols>
  <sheetData>
    <row r="1" spans="1:9" ht="13.8" customHeight="1" x14ac:dyDescent="0.25">
      <c r="A1" s="40" t="s">
        <v>86</v>
      </c>
      <c r="B1" s="40"/>
      <c r="C1" s="40"/>
      <c r="D1" s="40"/>
      <c r="E1" s="40"/>
      <c r="F1" s="40"/>
      <c r="G1" s="40"/>
      <c r="H1" s="40"/>
      <c r="I1" s="40"/>
    </row>
    <row r="2" spans="1:9" ht="13.8" customHeight="1" x14ac:dyDescent="0.25">
      <c r="A2" s="40"/>
      <c r="B2" s="40"/>
      <c r="C2" s="40"/>
      <c r="D2" s="40"/>
      <c r="E2" s="40"/>
      <c r="F2" s="40"/>
      <c r="G2" s="40"/>
      <c r="H2" s="40"/>
      <c r="I2" s="40"/>
    </row>
    <row r="3" spans="1:9" ht="13.8" customHeight="1" x14ac:dyDescent="0.25">
      <c r="A3" s="65" t="s">
        <v>87</v>
      </c>
      <c r="B3" s="65"/>
      <c r="C3" s="65"/>
      <c r="D3" s="65"/>
      <c r="E3" s="65"/>
      <c r="F3" s="65"/>
      <c r="G3" s="65"/>
      <c r="H3" s="65"/>
      <c r="I3" s="65"/>
    </row>
    <row r="4" spans="1:9" ht="13.8" customHeight="1" x14ac:dyDescent="0.25">
      <c r="A4" s="65"/>
      <c r="B4" s="65"/>
      <c r="C4" s="65"/>
      <c r="D4" s="65"/>
      <c r="E4" s="65"/>
      <c r="F4" s="65"/>
      <c r="G4" s="65"/>
      <c r="H4" s="65"/>
      <c r="I4" s="65"/>
    </row>
    <row r="5" spans="1:9" ht="18" x14ac:dyDescent="0.35">
      <c r="A5" s="66" t="s">
        <v>88</v>
      </c>
      <c r="B5" s="66"/>
      <c r="C5" s="66"/>
      <c r="D5" s="66"/>
      <c r="E5" s="66"/>
      <c r="F5" s="66"/>
      <c r="G5" s="66"/>
      <c r="H5" s="66"/>
      <c r="I5" s="66"/>
    </row>
    <row r="6" spans="1:9" x14ac:dyDescent="0.25">
      <c r="A6" s="54" t="s">
        <v>73</v>
      </c>
      <c r="B6" s="55"/>
      <c r="C6" s="55"/>
      <c r="D6" s="55"/>
      <c r="E6" s="55"/>
      <c r="F6" s="55"/>
      <c r="G6" s="55"/>
      <c r="H6" s="55"/>
      <c r="I6" s="56"/>
    </row>
    <row r="7" spans="1:9" x14ac:dyDescent="0.25">
      <c r="A7" s="57"/>
      <c r="B7" s="53"/>
      <c r="C7" s="53"/>
      <c r="D7" s="53"/>
      <c r="E7" s="53"/>
      <c r="F7" s="53"/>
      <c r="G7" s="53"/>
      <c r="H7" s="53"/>
      <c r="I7" s="58"/>
    </row>
    <row r="8" spans="1:9" x14ac:dyDescent="0.25">
      <c r="A8" s="59"/>
      <c r="B8" s="60"/>
      <c r="C8" s="60"/>
      <c r="D8" s="60"/>
      <c r="E8" s="60"/>
      <c r="F8" s="60"/>
      <c r="G8" s="60"/>
      <c r="H8" s="60"/>
      <c r="I8" s="61"/>
    </row>
    <row r="10" spans="1:9" x14ac:dyDescent="0.25">
      <c r="A10" s="64" t="s">
        <v>75</v>
      </c>
      <c r="B10" s="64"/>
      <c r="C10" s="64"/>
      <c r="D10" s="64"/>
      <c r="E10" s="64"/>
      <c r="F10" s="64"/>
      <c r="G10" s="64"/>
      <c r="H10" s="64"/>
      <c r="I10" s="64"/>
    </row>
    <row r="11" spans="1:9" x14ac:dyDescent="0.25">
      <c r="A11" s="67" t="s">
        <v>74</v>
      </c>
      <c r="B11" s="67"/>
      <c r="C11" s="67"/>
      <c r="D11" s="67"/>
      <c r="E11" s="67"/>
      <c r="F11" s="67"/>
      <c r="G11" s="67"/>
      <c r="H11" s="67"/>
      <c r="I11" s="67"/>
    </row>
    <row r="12" spans="1:9" x14ac:dyDescent="0.25">
      <c r="A12" s="67"/>
      <c r="B12" s="67"/>
      <c r="C12" s="67"/>
      <c r="D12" s="67"/>
      <c r="E12" s="67"/>
      <c r="F12" s="67"/>
      <c r="G12" s="67"/>
      <c r="H12" s="67"/>
      <c r="I12" s="67"/>
    </row>
    <row r="13" spans="1:9" x14ac:dyDescent="0.25">
      <c r="A13" s="67"/>
      <c r="B13" s="67"/>
      <c r="C13" s="67"/>
      <c r="D13" s="67"/>
      <c r="E13" s="67"/>
      <c r="F13" s="67"/>
      <c r="G13" s="67"/>
      <c r="H13" s="67"/>
      <c r="I13" s="67"/>
    </row>
    <row r="15" spans="1:9" x14ac:dyDescent="0.25">
      <c r="A15" s="64" t="s">
        <v>76</v>
      </c>
      <c r="B15" s="64"/>
      <c r="C15" s="64"/>
      <c r="D15" s="64"/>
      <c r="E15" s="64"/>
      <c r="F15" s="64"/>
      <c r="G15" s="64"/>
      <c r="H15" s="64"/>
      <c r="I15" s="64"/>
    </row>
    <row r="16" spans="1:9" x14ac:dyDescent="0.25">
      <c r="A16" s="68" t="s">
        <v>77</v>
      </c>
      <c r="B16" s="68"/>
      <c r="C16" s="68"/>
      <c r="D16" s="68"/>
      <c r="E16" s="68"/>
      <c r="F16" s="68"/>
      <c r="G16" s="68"/>
      <c r="H16" s="68"/>
      <c r="I16" s="68"/>
    </row>
    <row r="17" spans="1:9" x14ac:dyDescent="0.25">
      <c r="A17" s="68"/>
      <c r="B17" s="68"/>
      <c r="C17" s="68"/>
      <c r="D17" s="68"/>
      <c r="E17" s="68"/>
      <c r="F17" s="68"/>
      <c r="G17" s="68"/>
      <c r="H17" s="68"/>
      <c r="I17" s="68"/>
    </row>
    <row r="18" spans="1:9" x14ac:dyDescent="0.25">
      <c r="A18" s="68"/>
      <c r="B18" s="68"/>
      <c r="C18" s="68"/>
      <c r="D18" s="68"/>
      <c r="E18" s="68"/>
      <c r="F18" s="68"/>
      <c r="G18" s="68"/>
      <c r="H18" s="68"/>
      <c r="I18" s="68"/>
    </row>
    <row r="20" spans="1:9" x14ac:dyDescent="0.25">
      <c r="A20" s="64" t="s">
        <v>78</v>
      </c>
      <c r="B20" s="64"/>
      <c r="C20" s="64"/>
      <c r="D20" s="64"/>
      <c r="E20" s="64"/>
      <c r="F20" s="64"/>
      <c r="G20" s="64"/>
      <c r="H20" s="64"/>
      <c r="I20" s="64"/>
    </row>
    <row r="21" spans="1:9" x14ac:dyDescent="0.25">
      <c r="A21" s="67" t="s">
        <v>79</v>
      </c>
      <c r="B21" s="67"/>
      <c r="C21" s="67"/>
      <c r="D21" s="67"/>
      <c r="E21" s="67"/>
      <c r="F21" s="67"/>
      <c r="G21" s="67"/>
      <c r="H21" s="67"/>
      <c r="I21" s="67"/>
    </row>
    <row r="22" spans="1:9" x14ac:dyDescent="0.25">
      <c r="A22" s="67"/>
      <c r="B22" s="67"/>
      <c r="C22" s="67"/>
      <c r="D22" s="67"/>
      <c r="E22" s="67"/>
      <c r="F22" s="67"/>
      <c r="G22" s="67"/>
      <c r="H22" s="67"/>
      <c r="I22" s="67"/>
    </row>
    <row r="23" spans="1:9" x14ac:dyDescent="0.25">
      <c r="A23" s="67"/>
      <c r="B23" s="67"/>
      <c r="C23" s="67"/>
      <c r="D23" s="67"/>
      <c r="E23" s="67"/>
      <c r="F23" s="67"/>
      <c r="G23" s="67"/>
      <c r="H23" s="67"/>
      <c r="I23" s="67"/>
    </row>
    <row r="25" spans="1:9" x14ac:dyDescent="0.25">
      <c r="A25" s="64" t="s">
        <v>80</v>
      </c>
      <c r="B25" s="64"/>
      <c r="C25" s="64"/>
      <c r="D25" s="64"/>
      <c r="E25" s="64"/>
      <c r="F25" s="64"/>
      <c r="G25" s="64"/>
      <c r="H25" s="64"/>
      <c r="I25" s="64"/>
    </row>
    <row r="26" spans="1:9" x14ac:dyDescent="0.25">
      <c r="A26" s="67" t="s">
        <v>81</v>
      </c>
      <c r="B26" s="67"/>
      <c r="C26" s="67"/>
      <c r="D26" s="67"/>
      <c r="E26" s="67"/>
      <c r="F26" s="67"/>
      <c r="G26" s="67"/>
      <c r="H26" s="67"/>
      <c r="I26" s="67"/>
    </row>
    <row r="27" spans="1:9" x14ac:dyDescent="0.25">
      <c r="A27" s="67"/>
      <c r="B27" s="67"/>
      <c r="C27" s="67"/>
      <c r="D27" s="67"/>
      <c r="E27" s="67"/>
      <c r="F27" s="67"/>
      <c r="G27" s="67"/>
      <c r="H27" s="67"/>
      <c r="I27" s="67"/>
    </row>
    <row r="28" spans="1:9" x14ac:dyDescent="0.25">
      <c r="A28" s="67"/>
      <c r="B28" s="67"/>
      <c r="C28" s="67"/>
      <c r="D28" s="67"/>
      <c r="E28" s="67"/>
      <c r="F28" s="67"/>
      <c r="G28" s="67"/>
      <c r="H28" s="67"/>
      <c r="I28" s="67"/>
    </row>
    <row r="30" spans="1:9" x14ac:dyDescent="0.25">
      <c r="A30" s="64" t="s">
        <v>82</v>
      </c>
      <c r="B30" s="64"/>
      <c r="C30" s="64"/>
      <c r="D30" s="64"/>
      <c r="E30" s="64"/>
      <c r="F30" s="64"/>
      <c r="G30" s="64"/>
      <c r="H30" s="64"/>
      <c r="I30" s="64"/>
    </row>
    <row r="31" spans="1:9" x14ac:dyDescent="0.25">
      <c r="A31" s="68" t="s">
        <v>83</v>
      </c>
      <c r="B31" s="68"/>
      <c r="C31" s="68"/>
      <c r="D31" s="68"/>
      <c r="E31" s="68"/>
      <c r="F31" s="68"/>
      <c r="G31" s="68"/>
      <c r="H31" s="68"/>
      <c r="I31" s="68"/>
    </row>
    <row r="32" spans="1:9" x14ac:dyDescent="0.25">
      <c r="A32" s="68"/>
      <c r="B32" s="68"/>
      <c r="C32" s="68"/>
      <c r="D32" s="68"/>
      <c r="E32" s="68"/>
      <c r="F32" s="68"/>
      <c r="G32" s="68"/>
      <c r="H32" s="68"/>
      <c r="I32" s="68"/>
    </row>
    <row r="33" spans="1:9" x14ac:dyDescent="0.25">
      <c r="A33" s="68"/>
      <c r="B33" s="68"/>
      <c r="C33" s="68"/>
      <c r="D33" s="68"/>
      <c r="E33" s="68"/>
      <c r="F33" s="68"/>
      <c r="G33" s="68"/>
      <c r="H33" s="68"/>
      <c r="I33" s="68"/>
    </row>
    <row r="35" spans="1:9" ht="15.6" x14ac:dyDescent="0.3">
      <c r="A35" s="62" t="s">
        <v>84</v>
      </c>
      <c r="B35" s="62"/>
      <c r="C35" s="62"/>
      <c r="D35" s="62"/>
      <c r="E35" s="62"/>
      <c r="F35" s="62"/>
      <c r="G35" s="62"/>
      <c r="H35" s="62"/>
      <c r="I35" s="62"/>
    </row>
    <row r="36" spans="1:9" ht="13.8" customHeight="1" x14ac:dyDescent="0.25">
      <c r="A36" s="63" t="s">
        <v>85</v>
      </c>
      <c r="B36" s="63"/>
      <c r="C36" s="63"/>
      <c r="D36" s="63"/>
      <c r="E36" s="63"/>
      <c r="F36" s="63"/>
      <c r="G36" s="63"/>
      <c r="H36" s="63"/>
      <c r="I36" s="63"/>
    </row>
    <row r="37" spans="1:9" x14ac:dyDescent="0.25">
      <c r="A37" s="63"/>
      <c r="B37" s="63"/>
      <c r="C37" s="63"/>
      <c r="D37" s="63"/>
      <c r="E37" s="63"/>
      <c r="F37" s="63"/>
      <c r="G37" s="63"/>
      <c r="H37" s="63"/>
      <c r="I37" s="63"/>
    </row>
    <row r="38" spans="1:9" x14ac:dyDescent="0.25">
      <c r="A38" s="63"/>
      <c r="B38" s="63"/>
      <c r="C38" s="63"/>
      <c r="D38" s="63"/>
      <c r="E38" s="63"/>
      <c r="F38" s="63"/>
      <c r="G38" s="63"/>
      <c r="H38" s="63"/>
      <c r="I38" s="63"/>
    </row>
    <row r="39" spans="1:9" x14ac:dyDescent="0.25">
      <c r="A39" s="63"/>
      <c r="B39" s="63"/>
      <c r="C39" s="63"/>
      <c r="D39" s="63"/>
      <c r="E39" s="63"/>
      <c r="F39" s="63"/>
      <c r="G39" s="63"/>
      <c r="H39" s="63"/>
      <c r="I39" s="63"/>
    </row>
  </sheetData>
  <mergeCells count="16">
    <mergeCell ref="A36:I39"/>
    <mergeCell ref="A1:I2"/>
    <mergeCell ref="A3:I4"/>
    <mergeCell ref="A5:I5"/>
    <mergeCell ref="A21:I23"/>
    <mergeCell ref="A25:I25"/>
    <mergeCell ref="A26:I28"/>
    <mergeCell ref="A30:I30"/>
    <mergeCell ref="A31:I33"/>
    <mergeCell ref="A35:I35"/>
    <mergeCell ref="A6:I8"/>
    <mergeCell ref="A10:I10"/>
    <mergeCell ref="A11:I13"/>
    <mergeCell ref="A15:I15"/>
    <mergeCell ref="A16:I18"/>
    <mergeCell ref="A20:I20"/>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15</vt:i4>
      </vt:variant>
    </vt:vector>
  </HeadingPairs>
  <TitlesOfParts>
    <vt:vector size="15" baseType="lpstr">
      <vt:lpstr>Snippet</vt:lpstr>
      <vt:lpstr>Growth Trends</vt:lpstr>
      <vt:lpstr>Profitability</vt:lpstr>
      <vt:lpstr>Market Position</vt:lpstr>
      <vt:lpstr>Financial Health</vt:lpstr>
      <vt:lpstr>Liquidity</vt:lpstr>
      <vt:lpstr>Pivot Tables&gt;</vt:lpstr>
      <vt:lpstr>Profitability Trend Pivot</vt:lpstr>
      <vt:lpstr>Financial Health Pivot</vt:lpstr>
      <vt:lpstr>Growth Trend Pivot</vt:lpstr>
      <vt:lpstr>Market Position Pivot</vt:lpstr>
      <vt:lpstr>Liquidity Pivot Table</vt:lpstr>
      <vt:lpstr>IMP Charts</vt:lpstr>
      <vt:lpstr>Company Snapshot</vt:lpstr>
      <vt:lpstr>Conclusion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Atharva Walekar</dc:creator>
  <cp:lastModifiedBy>Atharva Walekar</cp:lastModifiedBy>
  <dcterms:created xsi:type="dcterms:W3CDTF">2026-03-27T05:41:40Z</dcterms:created>
  <dcterms:modified xsi:type="dcterms:W3CDTF">2026-03-29T15:06:04Z</dcterms:modified>
</cp:coreProperties>
</file>